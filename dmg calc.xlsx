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thing./VSCode/hbr_calc_web/"/>
    </mc:Choice>
  </mc:AlternateContent>
  <xr:revisionPtr revIDLastSave="0" documentId="13_ncr:1_{0178AE8A-FA7B-AA44-BBAA-1AB795408D36}" xr6:coauthVersionLast="47" xr6:coauthVersionMax="47" xr10:uidLastSave="{00000000-0000-0000-0000-000000000000}"/>
  <bookViews>
    <workbookView xWindow="0" yWindow="680" windowWidth="25820" windowHeight="14160" xr2:uid="{B971935B-19D4-48D9-BCE7-F93D077FF284}"/>
  </bookViews>
  <sheets>
    <sheet name="破坏率OD计算表" sheetId="2" r:id="rId1"/>
  </sheets>
  <definedNames>
    <definedName name="bor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2" l="1"/>
  <c r="E15" i="2"/>
  <c r="I2" i="2"/>
  <c r="K2" i="2" s="1"/>
  <c r="E16" i="2" l="1"/>
  <c r="E17" i="2" s="1"/>
  <c r="L2" i="2"/>
  <c r="I3" i="2"/>
  <c r="L3" i="2" s="1"/>
  <c r="I4" i="2"/>
  <c r="I5" i="2"/>
  <c r="I6" i="2"/>
  <c r="I7" i="2"/>
  <c r="K7" i="2" s="1"/>
  <c r="I8" i="2"/>
  <c r="K8" i="2" s="1"/>
  <c r="I9" i="2"/>
  <c r="K9" i="2" s="1"/>
  <c r="I10" i="2"/>
  <c r="I11" i="2"/>
  <c r="I12" i="2"/>
  <c r="J12" i="2" s="1" a="1"/>
  <c r="J12" i="2" s="1"/>
  <c r="K12" i="2" s="1"/>
  <c r="I13" i="2"/>
  <c r="J13" i="2" s="1" a="1"/>
  <c r="J13" i="2" s="1"/>
  <c r="K13" i="2" s="1"/>
  <c r="I14" i="2"/>
  <c r="J14" i="2" s="1" a="1"/>
  <c r="J14" i="2" s="1"/>
  <c r="I15" i="2"/>
  <c r="I16" i="2"/>
  <c r="I17" i="2"/>
  <c r="J17" i="2" s="1" a="1"/>
  <c r="J17" i="2" s="1"/>
  <c r="I18" i="2"/>
  <c r="J18" i="2" s="1" a="1"/>
  <c r="J18" i="2" s="1"/>
  <c r="I19" i="2"/>
  <c r="M19" i="2" s="1"/>
  <c r="J11" i="2" l="1" a="1"/>
  <c r="J11" i="2" s="1"/>
  <c r="K11" i="2" s="1"/>
  <c r="J10" i="2" a="1"/>
  <c r="J10" i="2" s="1"/>
  <c r="K10" i="2" s="1"/>
  <c r="J9" i="2" a="1"/>
  <c r="J9" i="2" s="1"/>
  <c r="J8" i="2" a="1"/>
  <c r="J8" i="2" s="1"/>
  <c r="J6" i="2" a="1"/>
  <c r="J6" i="2" s="1"/>
  <c r="K6" i="2" s="1"/>
  <c r="J5" i="2" a="1"/>
  <c r="J5" i="2" s="1"/>
  <c r="K5" i="2" s="1"/>
  <c r="J4" i="2" a="1"/>
  <c r="J4" i="2" s="1"/>
  <c r="K4" i="2" s="1"/>
  <c r="J3" i="2" a="1"/>
  <c r="J3" i="2" s="1"/>
  <c r="K3" i="2" s="1"/>
  <c r="L4" i="2" s="1"/>
  <c r="J7" i="2" a="1"/>
  <c r="J7" i="2" s="1"/>
  <c r="K14" i="2"/>
  <c r="J16" i="2" a="1"/>
  <c r="J16" i="2" s="1"/>
  <c r="K16" i="2" s="1"/>
  <c r="M18" i="2"/>
  <c r="J15" i="2" a="1"/>
  <c r="J15" i="2" s="1"/>
  <c r="K15" i="2" s="1"/>
  <c r="J2" i="2" a="1"/>
  <c r="J2" i="2" s="1"/>
  <c r="M2" i="2" s="1"/>
  <c r="K19" i="2"/>
  <c r="J19" i="2" a="1"/>
  <c r="J19" i="2" s="1"/>
  <c r="K18" i="2"/>
  <c r="K17" i="2"/>
  <c r="L5" i="2" l="1"/>
  <c r="L6" i="2" s="1"/>
  <c r="M3" i="2"/>
  <c r="M4" i="2" l="1"/>
  <c r="M5" i="2" l="1"/>
  <c r="L7" i="2" l="1"/>
  <c r="M6" i="2"/>
  <c r="L8" i="2" l="1"/>
  <c r="M7" i="2"/>
  <c r="L9" i="2" l="1"/>
  <c r="M8" i="2"/>
  <c r="L10" i="2" l="1"/>
  <c r="M9" i="2"/>
  <c r="L11" i="2" l="1"/>
  <c r="M10" i="2"/>
  <c r="L12" i="2" l="1"/>
  <c r="M11" i="2"/>
  <c r="L13" i="2" l="1"/>
  <c r="M12" i="2"/>
  <c r="L14" i="2" l="1"/>
  <c r="M13" i="2"/>
  <c r="L15" i="2" l="1"/>
  <c r="M14" i="2"/>
  <c r="L16" i="2" l="1"/>
  <c r="M15" i="2"/>
  <c r="L17" i="2" l="1"/>
  <c r="M16" i="2"/>
  <c r="L18" i="2" l="1"/>
  <c r="L19" i="2" s="1"/>
  <c r="M17" i="2"/>
  <c r="E18" i="2" s="1"/>
  <c r="I23" i="2"/>
  <c r="I25" i="2" l="1"/>
  <c r="I24" i="2"/>
  <c r="I2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<sst xmlns="http://schemas.openxmlformats.org/spreadsheetml/2006/main" count="29" uniqueCount="29">
  <si>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敌人DR</t>
  </si>
  <si>
    <t>初始破坏率</t>
    <phoneticPr fontId="1" type="noConversion"/>
  </si>
  <si>
    <t>平均破坏率</t>
    <phoneticPr fontId="1" type="noConversion"/>
  </si>
  <si>
    <t>技能破坏倍率 (DR)</t>
  </si>
  <si>
    <t>技能原始Hit数</t>
  </si>
  <si>
    <t>其他破坏率增量</t>
  </si>
  <si>
    <t>敌人初始破坏率</t>
  </si>
  <si>
    <t>当前类型</t>
    <phoneticPr fontId="1" type="noConversion"/>
  </si>
  <si>
    <t>伤害乘区</t>
    <phoneticPr fontId="1" type="noConversion"/>
  </si>
  <si>
    <t>DR增量</t>
    <phoneticPr fontId="1" type="noConversion"/>
  </si>
  <si>
    <t>实际伤害</t>
    <phoneticPr fontId="1" type="noConversion"/>
  </si>
  <si>
    <t>理论DR增量</t>
  </si>
  <si>
    <t>理论破坏率增量</t>
  </si>
  <si>
    <t>实际最终破坏率</t>
    <phoneticPr fontId="1" type="noConversion"/>
  </si>
  <si>
    <t>HitCount</t>
    <phoneticPr fontId="1" type="noConversion"/>
  </si>
  <si>
    <t>技能伤害分布</t>
    <phoneticPr fontId="1" type="noConversion"/>
  </si>
  <si>
    <t>大连击 25%</t>
    <phoneticPr fontId="1" type="noConversion"/>
  </si>
  <si>
    <t>小连击 6%</t>
    <phoneticPr fontId="1" type="noConversion"/>
  </si>
  <si>
    <t>敌人最大破坏率</t>
    <phoneticPr fontId="1" type="noConversion"/>
  </si>
  <si>
    <t>破坏率计算器</t>
    <phoneticPr fontId="1" type="noConversion"/>
  </si>
  <si>
    <t>破坏耳环</t>
    <phoneticPr fontId="1" type="noConversion"/>
  </si>
  <si>
    <t>银冰项链</t>
    <phoneticPr fontId="1" type="noConversion"/>
  </si>
  <si>
    <t>耳环系数</t>
    <phoneticPr fontId="1" type="noConversion"/>
  </si>
  <si>
    <t>HIT OD</t>
    <phoneticPr fontId="1" type="noConversion"/>
  </si>
  <si>
    <t>固定 OD</t>
    <phoneticPr fontId="1" type="noConversion"/>
  </si>
  <si>
    <t>总系数</t>
    <phoneticPr fontId="1" type="noConversion"/>
  </si>
  <si>
    <t>总OD</t>
    <phoneticPr fontId="1" type="noConversion"/>
  </si>
  <si>
    <t>特大连击 50%</t>
    <phoneticPr fontId="1" type="noConversion"/>
  </si>
  <si>
    <t>中连击 12%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</si>
</sst>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_ "/>
  </numFmts>
  <fonts count="7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b/>
      <sz val="11"/>
      <color rgb="FF00610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0" fontId="5" fillId="0" borderId="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5" fillId="0" borderId="9" xfId="0" applyNumberFormat="1" applyFont="1" applyBorder="1" applyAlignment="1">
      <alignment horizontal="center" vertical="center"/>
    </xf>
    <xf numFmtId="10" fontId="3" fillId="2" borderId="5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2">
    <dxf>
      <fill>
        <patternFill>
          <bgColor theme="2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7075-0A51-498B-B313-AD18AB51F76E}">
  <dimension ref="A1:M26"/>
  <sheetViews>
    <sheetView tabSelected="1" workbookViewId="0">
      <selection activeCell="N14" sqref="N14"/>
    </sheetView>
  </sheetViews>
  <sheetFormatPr baseColWidth="10" defaultColWidth="8.6640625" defaultRowHeight="15" x14ac:dyDescent="0.2"/>
  <cols>
    <col min="1" max="1" width="18.1640625" style="2" customWidth="1"/>
    <col min="2" max="2" width="10.1640625" style="2" bestFit="1" customWidth="1"/>
    <col min="3" max="3" width="10.5" style="2" customWidth="1"/>
    <col min="4" max="4" width="13.1640625" style="2" bestFit="1" customWidth="1"/>
    <col min="5" max="7" width="10.33203125" style="2" bestFit="1" customWidth="1"/>
    <col min="8" max="9" width="8.6640625" style="2" hidden="1" customWidth="1"/>
    <col min="10" max="10" width="8.5" style="2" hidden="1" customWidth="1"/>
    <col min="11" max="11" width="10.1640625" style="2" hidden="1" customWidth="1"/>
    <col min="12" max="12" width="10.33203125" style="2" hidden="1" customWidth="1"/>
    <col min="13" max="13" width="8.6640625" style="2" hidden="1" customWidth="1"/>
    <col min="14" max="16384" width="8.6640625" style="2"/>
  </cols>
  <sheetData>
    <row r="1" spans="1:13" x14ac:dyDescent="0.2">
      <c r="A1" s="18" t="s">
        <v>19</v>
      </c>
      <c r="B1" s="19"/>
      <c r="D1" s="17" t="s">
        <v>15</v>
      </c>
      <c r="E1" s="17"/>
      <c r="H1" s="2" t="s">
        <v>14</v>
      </c>
      <c r="I1" s="2" t="s">
        <v>7</v>
      </c>
      <c r="J1" s="2" t="s">
        <v>8</v>
      </c>
      <c r="K1" s="2" t="s">
        <v>9</v>
      </c>
      <c r="L1" s="2" t="s">
        <v>1</v>
      </c>
      <c r="M1" s="2" t="s">
        <v>10</v>
      </c>
    </row>
    <row r="2" spans="1:13" x14ac:dyDescent="0.2">
      <c r="A2" s="3" t="s">
        <v>3</v>
      </c>
      <c r="B2" s="1">
        <v>28</v>
      </c>
      <c r="D2" s="1">
        <v>1</v>
      </c>
      <c r="E2" s="1">
        <v>0.05</v>
      </c>
      <c r="H2" s="2">
        <v>1</v>
      </c>
      <c r="I2" s="2" t="str">
        <f>IF(H2&lt;=$B$4, "本体", IF(H2&lt;=$B$4+$B$8+$B$9+$B$10+$B$11, "连击", "无效"))</f>
        <v>本体</v>
      </c>
      <c r="J2" s="2" cm="1">
        <f t="array" ref="J2">IF(I2="本体", INDEX($E$2:$E$13, H2), IF(I2="连击", IF(H2-$B$4&lt;=$B$8, 0.5, IF(H2-$B$4&lt;=$B$8+$B$9, 0.25, IF(H2-$B$4&lt;=$B$8+$B$9+$B$10, 0.12, 0.06))), 0))</f>
        <v>0.05</v>
      </c>
      <c r="K2" s="2">
        <f>IF(I2="无效", 0, IF(I2="本体", ($B$2/$B$4), $B$2*J2) * $B$3 * (1 + IF($B$5=0, 0, ROUND(IF($B$4&gt;=10, 0.15, 0.05+($B$4-1)*(0.15-0.05)/9), 3)) + IF($B$6=0, 0, 0.1) + $B$7))</f>
        <v>0.60480000000000012</v>
      </c>
      <c r="L2" s="2">
        <f>IF(ISBLANK($B$13), 1, $B$13)</f>
        <v>1.79</v>
      </c>
      <c r="M2" s="2">
        <f>IF(I2="无效", 0, L2*J2)</f>
        <v>8.950000000000001E-2</v>
      </c>
    </row>
    <row r="3" spans="1:13" x14ac:dyDescent="0.2">
      <c r="A3" s="3" t="s">
        <v>0</v>
      </c>
      <c r="B3" s="4">
        <v>0.1</v>
      </c>
      <c r="D3" s="1">
        <v>2</v>
      </c>
      <c r="E3" s="1">
        <v>0.05</v>
      </c>
      <c r="H3" s="2">
        <v>2</v>
      </c>
      <c r="I3" s="2" t="str">
        <f t="shared" ref="I3:I18" si="0">IF(H3&lt;=$B$4, "本体", IF(H3&lt;=$B$4+$B$8+$B$9+$B$10+$B$11, "连击", "无效"))</f>
        <v>本体</v>
      </c>
      <c r="J3" s="2" cm="1">
        <f t="array" ref="J3">IF(I3="本体", INDEX($E$2:$E$13, H3), IF(I3="连击", IF(H3-$B$4&lt;=$B$8, 0.5, IF(H3-$B$4&lt;=$B$8+$B$9, 0.25, IF(H3-$B$4&lt;=$B$8+$B$9+$B$10, 0.12, 0.06))), 0))</f>
        <v>0.05</v>
      </c>
      <c r="K3" s="2">
        <f t="shared" ref="K3:K18" si="1">IF(I3="无效", 0, IF(I3="本体", ($B$2/$B$4), $B$2*J3) * $B$3 * (1 + IF($B$5=0, 0, ROUND(IF($B$4&gt;=10, 0.15, 0.05+($B$4-1)*(0.15-0.05)/9), 3)) + IF($B$6=0, 0, 0.1) + $B$7))</f>
        <v>0.60480000000000012</v>
      </c>
      <c r="L3" s="2">
        <f>IF(I3="无效", L2, IF(ISBLANK($B$12), L2+K2, MIN($B$12, L2+K2)))</f>
        <v>2.3948</v>
      </c>
      <c r="M3" s="2">
        <f t="shared" ref="M3:M18" si="2">IF(I3="无效", 0, L3*J3)</f>
        <v>0.11974000000000001</v>
      </c>
    </row>
    <row r="4" spans="1:13" x14ac:dyDescent="0.2">
      <c r="A4" s="3" t="s">
        <v>4</v>
      </c>
      <c r="B4" s="1">
        <v>8</v>
      </c>
      <c r="D4" s="1">
        <v>3</v>
      </c>
      <c r="E4" s="1">
        <v>0.05</v>
      </c>
      <c r="H4" s="2">
        <v>3</v>
      </c>
      <c r="I4" s="2" t="str">
        <f t="shared" si="0"/>
        <v>本体</v>
      </c>
      <c r="J4" s="2" cm="1">
        <f t="array" ref="J4">IF(I4="本体", INDEX($E$2:$E$13, H4), IF(I4="连击", IF(H4-$B$4&lt;=$B$8, 0.5, IF(H4-$B$4&lt;=$B$8+$B$9, 0.25, IF(H4-$B$4&lt;=$B$8+$B$9+$B$10, 0.12, 0.06))), 0))</f>
        <v>0.05</v>
      </c>
      <c r="K4" s="2">
        <f t="shared" si="1"/>
        <v>0.60480000000000012</v>
      </c>
      <c r="L4" s="2">
        <f>IF(I4="无效", L3, IF(ISBLANK($B$12), L3+K3, MIN($B$12, L3+K3)))</f>
        <v>2.9996</v>
      </c>
      <c r="M4" s="2">
        <f t="shared" si="2"/>
        <v>0.14998</v>
      </c>
    </row>
    <row r="5" spans="1:13" x14ac:dyDescent="0.2">
      <c r="A5" s="3" t="s">
        <v>20</v>
      </c>
      <c r="B5" s="1">
        <v>1</v>
      </c>
      <c r="D5" s="1">
        <v>4</v>
      </c>
      <c r="E5" s="1">
        <v>0.05</v>
      </c>
      <c r="H5" s="2">
        <v>4</v>
      </c>
      <c r="I5" s="2" t="str">
        <f t="shared" si="0"/>
        <v>本体</v>
      </c>
      <c r="J5" s="2" cm="1">
        <f t="array" ref="J5">IF(I5="本体", INDEX($E$2:$E$13, H5), IF(I5="连击", IF(H5-$B$4&lt;=$B$8, 0.5, IF(H5-$B$4&lt;=$B$8+$B$9, 0.25, IF(H5-$B$4&lt;=$B$8+$B$9+$B$10, 0.12, 0.06))), 0))</f>
        <v>0.05</v>
      </c>
      <c r="K5" s="2">
        <f t="shared" si="1"/>
        <v>0.60480000000000012</v>
      </c>
      <c r="L5" s="2">
        <f>IF(I5="无效", L4, IF(ISBLANK($B$12), L4+K4, MIN($B$12, L4+K4)))</f>
        <v>3.6044</v>
      </c>
      <c r="M5" s="2">
        <f t="shared" si="2"/>
        <v>0.18022000000000002</v>
      </c>
    </row>
    <row r="6" spans="1:13" x14ac:dyDescent="0.2">
      <c r="A6" s="3" t="s">
        <v>21</v>
      </c>
      <c r="B6" s="1">
        <v>1</v>
      </c>
      <c r="D6" s="1">
        <v>5</v>
      </c>
      <c r="E6" s="1">
        <v>0.05</v>
      </c>
      <c r="H6" s="2">
        <v>5</v>
      </c>
      <c r="I6" s="2" t="str">
        <f t="shared" si="0"/>
        <v>本体</v>
      </c>
      <c r="J6" s="2" cm="1">
        <f t="array" ref="J6">IF(I6="本体", INDEX($E$2:$E$13, H6), IF(I6="连击", IF(H6-$B$4&lt;=$B$8, 0.5, IF(H6-$B$4&lt;=$B$8+$B$9, 0.25, IF(H6-$B$4&lt;=$B$8+$B$9+$B$10, 0.12, 0.06))), 0))</f>
        <v>0.05</v>
      </c>
      <c r="K6" s="2">
        <f t="shared" si="1"/>
        <v>0.60480000000000012</v>
      </c>
      <c r="L6" s="2">
        <f>IF(I6="无效", L5, IF(ISBLANK($B$12), L5+K5, MIN($B$12, L5+K5)))</f>
        <v>4.2092000000000001</v>
      </c>
      <c r="M6" s="2">
        <f t="shared" si="2"/>
        <v>0.21046000000000001</v>
      </c>
    </row>
    <row r="7" spans="1:13" x14ac:dyDescent="0.2">
      <c r="A7" s="3" t="s">
        <v>5</v>
      </c>
      <c r="B7" s="4">
        <v>0.5</v>
      </c>
      <c r="D7" s="1">
        <v>6</v>
      </c>
      <c r="E7" s="1">
        <v>0.05</v>
      </c>
      <c r="H7" s="2">
        <v>6</v>
      </c>
      <c r="I7" s="2" t="str">
        <f t="shared" si="0"/>
        <v>本体</v>
      </c>
      <c r="J7" s="2" cm="1">
        <f t="array" ref="J7">IF(I7="本体", INDEX($E$2:$E$13, H7), IF(I7="连击", IF(H7-$B$4&lt;=$B$8, 0.5, IF(H7-$B$4&lt;=$B$8+$B$9, 0.25, IF(H7-$B$4&lt;=$B$8+$B$9+$B$10, 0.12, 0.06))), 0))</f>
        <v>0.05</v>
      </c>
      <c r="K7" s="2">
        <f t="shared" si="1"/>
        <v>0.60480000000000012</v>
      </c>
      <c r="L7" s="2">
        <f t="shared" ref="L7:L18" si="3">IF(I7="无效", L6, IF(ISBLANK($B$12), L6+K6, MIN($B$12, L6+K6)))</f>
        <v>4.8140000000000001</v>
      </c>
      <c r="M7" s="2">
        <f t="shared" si="2"/>
        <v>0.24070000000000003</v>
      </c>
    </row>
    <row r="8" spans="1:13" x14ac:dyDescent="0.2">
      <c r="A8" s="3" t="s">
        <v>27</v>
      </c>
      <c r="B8" s="1">
        <v>3</v>
      </c>
      <c r="D8" s="1">
        <v>7</v>
      </c>
      <c r="E8" s="1">
        <v>0.05</v>
      </c>
      <c r="H8" s="2">
        <v>7</v>
      </c>
      <c r="I8" s="2" t="str">
        <f t="shared" si="0"/>
        <v>本体</v>
      </c>
      <c r="J8" s="2" cm="1">
        <f t="array" ref="J8">IF(I8="本体", INDEX($E$2:$E$13, H8), IF(I8="连击", IF(H8-$B$4&lt;=$B$8, 0.5, IF(H8-$B$4&lt;=$B$8+$B$9, 0.25, IF(H8-$B$4&lt;=$B$8+$B$9+$B$10, 0.12, 0.06))), 0))</f>
        <v>0.05</v>
      </c>
      <c r="K8" s="2">
        <f t="shared" si="1"/>
        <v>0.60480000000000012</v>
      </c>
      <c r="L8" s="2">
        <f t="shared" si="3"/>
        <v>5.4188000000000001</v>
      </c>
      <c r="M8" s="2">
        <f t="shared" si="2"/>
        <v>0.27094000000000001</v>
      </c>
    </row>
    <row r="9" spans="1:13" x14ac:dyDescent="0.2">
      <c r="A9" s="3" t="s">
        <v>16</v>
      </c>
      <c r="B9" s="1">
        <v>0</v>
      </c>
      <c r="D9" s="1">
        <v>8</v>
      </c>
      <c r="E9" s="1">
        <v>0.65</v>
      </c>
      <c r="H9" s="2">
        <v>8</v>
      </c>
      <c r="I9" s="2" t="str">
        <f t="shared" si="0"/>
        <v>本体</v>
      </c>
      <c r="J9" s="2" cm="1">
        <f t="array" ref="J9">IF(I9="本体", INDEX($E$2:$E$13, H9), IF(I9="连击", IF(H9-$B$4&lt;=$B$8, 0.5, IF(H9-$B$4&lt;=$B$8+$B$9, 0.25, IF(H9-$B$4&lt;=$B$8+$B$9+$B$10, 0.12, 0.06))), 0))</f>
        <v>0.65</v>
      </c>
      <c r="K9" s="2">
        <f t="shared" si="1"/>
        <v>0.60480000000000012</v>
      </c>
      <c r="L9" s="2">
        <f t="shared" si="3"/>
        <v>6.0236000000000001</v>
      </c>
      <c r="M9" s="2">
        <f t="shared" si="2"/>
        <v>3.91534</v>
      </c>
    </row>
    <row r="10" spans="1:13" x14ac:dyDescent="0.2">
      <c r="A10" s="3" t="s">
        <v>28</v>
      </c>
      <c r="B10" s="1">
        <v>0</v>
      </c>
      <c r="D10" s="1">
        <v>9</v>
      </c>
      <c r="E10" s="1"/>
      <c r="H10" s="2">
        <v>9</v>
      </c>
      <c r="I10" s="2" t="str">
        <f t="shared" si="0"/>
        <v>连击</v>
      </c>
      <c r="J10" s="2" cm="1">
        <f t="array" ref="J10">IF(I10="本体", INDEX($E$2:$E$13, H10), IF(I10="连击", IF(H10-$B$4&lt;=$B$8, 0.5, IF(H10-$B$4&lt;=$B$8+$B$9, 0.25, IF(H10-$B$4&lt;=$B$8+$B$9+$B$10, 0.12, 0.06))), 0))</f>
        <v>0.5</v>
      </c>
      <c r="K10" s="2">
        <f t="shared" si="1"/>
        <v>2.4192000000000005</v>
      </c>
      <c r="L10" s="2">
        <f t="shared" si="3"/>
        <v>6.6284000000000001</v>
      </c>
      <c r="M10" s="2">
        <f t="shared" si="2"/>
        <v>3.3142</v>
      </c>
    </row>
    <row r="11" spans="1:13" x14ac:dyDescent="0.2">
      <c r="A11" s="3" t="s">
        <v>17</v>
      </c>
      <c r="B11" s="1">
        <v>0</v>
      </c>
      <c r="D11" s="1">
        <v>10</v>
      </c>
      <c r="E11" s="1"/>
      <c r="H11" s="2">
        <v>10</v>
      </c>
      <c r="I11" s="2" t="str">
        <f t="shared" si="0"/>
        <v>连击</v>
      </c>
      <c r="J11" s="2" cm="1">
        <f t="array" ref="J11">IF(I11="本体", INDEX($E$2:$E$13, H11), IF(I11="连击", IF(H11-$B$4&lt;=$B$8, 0.5, IF(H11-$B$4&lt;=$B$8+$B$9, 0.25, IF(H11-$B$4&lt;=$B$8+$B$9+$B$10, 0.12, 0.06))), 0))</f>
        <v>0.5</v>
      </c>
      <c r="K11" s="2">
        <f t="shared" si="1"/>
        <v>2.4192000000000005</v>
      </c>
      <c r="L11" s="2">
        <f t="shared" si="3"/>
        <v>9.047600000000001</v>
      </c>
      <c r="M11" s="2">
        <f t="shared" si="2"/>
        <v>4.5238000000000005</v>
      </c>
    </row>
    <row r="12" spans="1:13" x14ac:dyDescent="0.2">
      <c r="A12" s="3" t="s">
        <v>18</v>
      </c>
      <c r="B12" s="5">
        <v>12.99</v>
      </c>
      <c r="D12" s="1">
        <v>11</v>
      </c>
      <c r="E12" s="1"/>
      <c r="H12" s="2">
        <v>11</v>
      </c>
      <c r="I12" s="2" t="str">
        <f t="shared" si="0"/>
        <v>连击</v>
      </c>
      <c r="J12" s="2" cm="1">
        <f t="array" ref="J12">IF(I12="本体", INDEX($E$2:$E$13, H12), IF(I12="连击", IF(H12-$B$4&lt;=$B$8, 0.5, IF(H12-$B$4&lt;=$B$8+$B$9, 0.25, IF(H12-$B$4&lt;=$B$8+$B$9+$B$10, 0.12, 0.06))), 0))</f>
        <v>0.5</v>
      </c>
      <c r="K12" s="2">
        <f t="shared" si="1"/>
        <v>2.4192000000000005</v>
      </c>
      <c r="L12" s="2">
        <f t="shared" si="3"/>
        <v>11.466800000000001</v>
      </c>
      <c r="M12" s="2">
        <f t="shared" si="2"/>
        <v>5.7334000000000005</v>
      </c>
    </row>
    <row r="13" spans="1:13" x14ac:dyDescent="0.2">
      <c r="A13" s="3" t="s">
        <v>6</v>
      </c>
      <c r="B13" s="5">
        <v>1.79</v>
      </c>
      <c r="D13" s="1">
        <v>12</v>
      </c>
      <c r="E13" s="1"/>
      <c r="H13" s="2">
        <v>12</v>
      </c>
      <c r="I13" s="2" t="str">
        <f t="shared" si="0"/>
        <v>无效</v>
      </c>
      <c r="J13" s="2" cm="1">
        <f t="array" ref="J13">IF(I13="本体", INDEX($E$2:$E$13, H13), IF(I13="连击", IF(H13-$B$4&lt;=$B$8, 0.5, IF(H13-$B$4&lt;=$B$8+$B$9, 0.25, IF(H13-$B$4&lt;=$B$8+$B$9+$B$10, 0.12, 0.06))), 0))</f>
        <v>0</v>
      </c>
      <c r="K13" s="2">
        <f t="shared" si="1"/>
        <v>0</v>
      </c>
      <c r="L13" s="2">
        <f t="shared" si="3"/>
        <v>11.466800000000001</v>
      </c>
      <c r="M13" s="2">
        <f t="shared" si="2"/>
        <v>0</v>
      </c>
    </row>
    <row r="14" spans="1:13" ht="16" thickBot="1" x14ac:dyDescent="0.25">
      <c r="H14" s="2">
        <v>13</v>
      </c>
      <c r="I14" s="2" t="str">
        <f t="shared" si="0"/>
        <v>无效</v>
      </c>
      <c r="J14" s="2" cm="1">
        <f t="array" ref="J14">IF(I14="本体", INDEX($E$2:$E$13, H14), IF(I14="连击", IF(H14-$B$4&lt;=$B$8, 0.5, IF(H14-$B$4&lt;=$B$8+$B$9, 0.25, IF(H14-$B$4&lt;=$B$8+$B$9+$B$10, 0.12, 0.06))), 0))</f>
        <v>0</v>
      </c>
      <c r="K14" s="2">
        <f t="shared" si="1"/>
        <v>0</v>
      </c>
      <c r="L14" s="2">
        <f t="shared" si="3"/>
        <v>11.466800000000001</v>
      </c>
      <c r="M14" s="2">
        <f t="shared" si="2"/>
        <v>0</v>
      </c>
    </row>
    <row r="15" spans="1:13" x14ac:dyDescent="0.2">
      <c r="A15" s="18"/>
      <c r="B15" s="19"/>
      <c r="D15" s="6" t="s">
        <v>11</v>
      </c>
      <c r="E15" s="7">
        <f>$B$2 * (1 + $B$8*0.5 + $B$9*0.25 + $B$10*0.12 + $B$11*0.06) * (1 + IF($B$5=0, 0, IF($B$4&gt;=10, 0.15, 0.05+($B$4-1)*(0.15-0.05)/9)) + IF($B$6=0, 0, 0.1) + $B$7)</f>
        <v>120.94444444444446</v>
      </c>
      <c r="H15" s="2">
        <v>14</v>
      </c>
      <c r="I15" s="2" t="str">
        <f t="shared" si="0"/>
        <v>无效</v>
      </c>
      <c r="J15" s="2" cm="1">
        <f t="array" ref="J15">IF(I15="本体", INDEX($E$2:$E$13, H15), IF(I15="连击", IF(H15-$B$4&lt;=$B$8, 0.5, IF(H15-$B$4&lt;=$B$8+$B$9, 0.25, IF(H15-$B$4&lt;=$B$8+$B$9+$B$10, 0.12, 0.06))), 0))</f>
        <v>0</v>
      </c>
      <c r="K15" s="2">
        <f t="shared" si="1"/>
        <v>0</v>
      </c>
      <c r="L15" s="2">
        <f t="shared" si="3"/>
        <v>11.466800000000001</v>
      </c>
      <c r="M15" s="2">
        <f t="shared" si="2"/>
        <v>0</v>
      </c>
    </row>
    <row r="16" spans="1:13" x14ac:dyDescent="0.2">
      <c r="A16" s="3"/>
      <c r="B16" s="1"/>
      <c r="D16" s="8" t="s">
        <v>12</v>
      </c>
      <c r="E16" s="9">
        <f>E15 * B3</f>
        <v>12.094444444444447</v>
      </c>
      <c r="H16" s="2">
        <v>15</v>
      </c>
      <c r="I16" s="2" t="str">
        <f t="shared" si="0"/>
        <v>无效</v>
      </c>
      <c r="J16" s="2" cm="1">
        <f t="array" ref="J16">IF(I16="本体", INDEX($E$2:$E$13, H16), IF(I16="连击", IF(H16-$B$4&lt;=$B$8, 0.5, IF(H16-$B$4&lt;=$B$8+$B$9, 0.25, IF(H16-$B$4&lt;=$B$8+$B$9+$B$10, 0.12, 0.06))), 0))</f>
        <v>0</v>
      </c>
      <c r="K16" s="2">
        <f t="shared" si="1"/>
        <v>0</v>
      </c>
      <c r="L16" s="2">
        <f t="shared" si="3"/>
        <v>11.466800000000001</v>
      </c>
      <c r="M16" s="2">
        <f t="shared" si="2"/>
        <v>0</v>
      </c>
    </row>
    <row r="17" spans="1:13" x14ac:dyDescent="0.2">
      <c r="A17" s="3"/>
      <c r="B17" s="1"/>
      <c r="D17" s="8" t="s">
        <v>13</v>
      </c>
      <c r="E17" s="9">
        <f>IF(ISBLANK($B$12), IF(ISBLANK($B$13), 1, $B$13) + E16, MIN($B$12, IF(ISBLANK($B$13), 1, $B$13) + E16))</f>
        <v>12.99</v>
      </c>
      <c r="H17" s="2">
        <v>16</v>
      </c>
      <c r="I17" s="2" t="str">
        <f t="shared" si="0"/>
        <v>无效</v>
      </c>
      <c r="J17" s="2" cm="1">
        <f t="array" ref="J17">IF(I17="本体", INDEX($E$2:$E$13, H17), IF(I17="连击", IF(H17-$B$4&lt;=$B$8, 0.5, IF(H17-$B$4&lt;=$B$8+$B$9, 0.25, IF(H17-$B$4&lt;=$B$8+$B$9+$B$10, 0.12, 0.06))), 0))</f>
        <v>0</v>
      </c>
      <c r="K17" s="2">
        <f t="shared" si="1"/>
        <v>0</v>
      </c>
      <c r="L17" s="2">
        <f t="shared" si="3"/>
        <v>11.466800000000001</v>
      </c>
      <c r="M17" s="2">
        <f t="shared" si="2"/>
        <v>0</v>
      </c>
    </row>
    <row r="18" spans="1:13" ht="16" thickBot="1" x14ac:dyDescent="0.25">
      <c r="A18" s="3"/>
      <c r="B18" s="4"/>
      <c r="D18" s="10" t="s">
        <v>2</v>
      </c>
      <c r="E18" s="11">
        <f>SUM(M2:M19) / (1 + $B$8*0.5 + $B$9*0.25 + $B$10*0.12 + $B$11*0.06)</f>
        <v>7.4993120000000006</v>
      </c>
      <c r="H18" s="2">
        <v>17</v>
      </c>
      <c r="I18" s="2" t="str">
        <f t="shared" si="0"/>
        <v>无效</v>
      </c>
      <c r="J18" s="2" cm="1">
        <f t="array" ref="J18">IF(I18="本体", INDEX($E$2:$E$13, H18), IF(I18="连击", IF(H18-$B$4&lt;=$B$8, 0.5, IF(H18-$B$4&lt;=$B$8+$B$9, 0.25, IF(H18-$B$4&lt;=$B$8+$B$9+$B$10, 0.12, 0.06))), 0))</f>
        <v>0</v>
      </c>
      <c r="K18" s="2">
        <f t="shared" si="1"/>
        <v>0</v>
      </c>
      <c r="L18" s="2">
        <f t="shared" si="3"/>
        <v>11.466800000000001</v>
      </c>
      <c r="M18" s="2">
        <f t="shared" si="2"/>
        <v>0</v>
      </c>
    </row>
    <row r="19" spans="1:13" x14ac:dyDescent="0.2">
      <c r="A19" s="3"/>
      <c r="B19" s="4"/>
      <c r="D19" s="15"/>
      <c r="E19" s="16"/>
      <c r="H19" s="2">
        <v>18</v>
      </c>
      <c r="I19" s="2" t="str">
        <f>IF(H19&lt;=$B$4, "本体", IF(H19&lt;=$B$4+$B$8+$B$9+$B$10+$B$11, "连击", "无效"))</f>
        <v>无效</v>
      </c>
      <c r="J19" s="2" cm="1">
        <f t="array" ref="J19">IF(I19="本体", INDEX($E$2:$E$13, H19), IF(I19="连击", IF(H19-$B$4&lt;=$B$8, 0.5, IF(H19-$B$4&lt;=$B$8+$B$9, 0.25, IF(H19-$B$4&lt;=$B$8+$B$9+$B$10, 0.12, 0.06))), 0))</f>
        <v>0</v>
      </c>
      <c r="K19" s="2">
        <f>IF(I19="无效", 0, IF(I19="本体", ($B$2/$B$4), $B$2*J19) * $B$3 * (1 + IF($B$5=0, 0, ROUND(IF($B$4&gt;=10, 0.15, 0.05+($B$4-1)*(0.15-0.05)/9), 3)) + IF($B$6=0, 0, 0.1) + $B$7))</f>
        <v>0</v>
      </c>
      <c r="L19" s="2">
        <f>IF(I19="无效", L18, IF(ISBLANK($B$12), L18+K18, MIN($B$12, L18+K18)))</f>
        <v>11.466800000000001</v>
      </c>
      <c r="M19" s="2">
        <f>IF(I19="无效", 0, L19*J19)</f>
        <v>0</v>
      </c>
    </row>
    <row r="20" spans="1:13" ht="16" thickBot="1" x14ac:dyDescent="0.25">
      <c r="A20" s="3"/>
      <c r="B20" s="1"/>
      <c r="D20" s="12"/>
      <c r="E20" s="12"/>
    </row>
    <row r="21" spans="1:13" x14ac:dyDescent="0.2">
      <c r="A21" s="3"/>
      <c r="B21" s="1"/>
      <c r="C21"/>
      <c r="D21" s="6"/>
      <c r="E21" s="14"/>
    </row>
    <row r="22" spans="1:13" ht="16" thickBot="1" x14ac:dyDescent="0.25">
      <c r="A22" s="3"/>
      <c r="B22" s="1"/>
      <c r="D22" s="10"/>
      <c r="E22" s="13"/>
      <c r="H22" s="2" t="s">
        <v>22</v>
      </c>
      <c r="I22" s="2">
        <f>1+IF(B16=0,5,5+MIN(B16,10)*10/9-10/9)/100*B20</f>
        <v>1</v>
      </c>
    </row>
    <row r="23" spans="1:13" x14ac:dyDescent="0.2">
      <c r="A23" s="3"/>
      <c r="B23" s="4"/>
      <c r="H23" s="2" t="s">
        <v>25</v>
      </c>
      <c r="I23" s="2">
        <f>I22+$B$23</f>
        <v>1</v>
      </c>
    </row>
    <row r="24" spans="1:13" x14ac:dyDescent="0.2">
      <c r="A24" s="3"/>
      <c r="B24" s="5"/>
      <c r="H24" s="2" t="s">
        <v>23</v>
      </c>
      <c r="I24" s="2">
        <f>($B$16+$B$17)*ROUNDDOWN(ROUNDDOWN(2.5*I23,2)*B24,2)*$B$21*IF(B22,0,1)</f>
        <v>0</v>
      </c>
    </row>
    <row r="25" spans="1:13" x14ac:dyDescent="0.2">
      <c r="H25" s="2" t="s">
        <v>24</v>
      </c>
      <c r="I25" s="2">
        <f>ROUNDDOWN($B$18*100*I23,2)+ROUNDDOWN($B$19*100*I23,2)</f>
        <v>0</v>
      </c>
    </row>
    <row r="26" spans="1:13" x14ac:dyDescent="0.2">
      <c r="H26" s="2" t="s">
        <v>26</v>
      </c>
      <c r="I26" s="2">
        <f>I24+I25</f>
        <v>0</v>
      </c>
    </row>
  </sheetData>
  <mergeCells count="3">
    <mergeCell ref="D1:E1"/>
    <mergeCell ref="A1:B1"/>
    <mergeCell ref="A15:B15"/>
  </mergeCells>
  <phoneticPr fontId="1" type="noConversion"/>
  <conditionalFormatting sqref="B21">
    <cfRule type="cellIs" dxfId="1" priority="1" operator="equal">
      <formula>0</formula>
    </cfRule>
  </conditionalFormatting>
  <conditionalFormatting sqref="E2:E13">
    <cfRule type="expression" dxfId="0" priority="2">
      <formula>D2&gt;$B$4</formula>
    </cfRule>
  </conditionalFormatting>
  <dataValidations count="4">
    <dataValidation type="list" allowBlank="1" showInputMessage="1" showErrorMessage="1" sqref="B5:B6 B22 B20" xr:uid="{CB5BC389-293B-406A-BB07-D5FCE0DFD55F}">
      <formula1>"0,1"</formula1>
    </dataValidation>
    <dataValidation type="whole" allowBlank="1" showInputMessage="1" showErrorMessage="1" sqref="B4" xr:uid="{3C6A739E-1C4E-4EA4-9708-0E976DC8EFAA}">
      <formula1>0</formula1>
      <formula2>12</formula2>
    </dataValidation>
    <dataValidation type="list" showInputMessage="1" showErrorMessage="1" sqref="B21" xr:uid="{2CBD9032-F5B3-4C1A-AC08-E09A65706569}">
      <formula1>"1,2,3"</formula1>
    </dataValidation>
    <dataValidation type="list" allowBlank="1" showInputMessage="1" showErrorMessage="1" sqref="B19" xr:uid="{9502D857-9530-4A11-BB39-20058192D8E1}">
      <formula1>"12%,14%,16%,18%,20%"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破坏率OD计算表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SGrnium Propyl</dc:creator>
  <cp:lastModifiedBy>Microsoft Office User</cp:lastModifiedBy>
  <dcterms:created xsi:type="dcterms:W3CDTF">2026-02-15T07:35:48Z</dcterms:created>
  <dcterms:modified xsi:type="dcterms:W3CDTF">2026-06-13T12:57:50Z</dcterms:modified>
</cp:coreProperties>
</file>