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<sst xmlns="http://schemas.openxmlformats.org/spreadsheetml/2006/main" count="19" uniqueCount="19">
  <si>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1轮伤害</t>
  </si>
  <si>
    <t>2轮伤害</t>
  </si>
  <si>
    <t>3轮伤害</t>
  </si>
  <si>
    <t>4轮伤害</t>
  </si>
  <si>
    <t>5轮伤害</t>
  </si>
  <si>
    <t>总伤害分</t>
  </si>
  <si>
    <t>改黄色的，自动算分</t>
  </si>
  <si>
    <t>伤害</t>
  </si>
  <si>
    <t>注：遭遇战为各自每阶段计算总伤害的伤害分，然后伤害分求和</t>
  </si>
  <si>
    <t>伤害分</t>
  </si>
  <si>
    <t>注2：每阶段总伤害指这个阶段内的全部伤害，而非最大回合伤害</t>
  </si>
  <si>
    <t>回合分</t>
  </si>
  <si>
    <t>难度分</t>
  </si>
  <si>
    <t>词条</t>
  </si>
  <si>
    <t>出分</t>
  </si>
  <si>
    <t>下为回合分计算，请填写难度和回合</t>
  </si>
  <si>
    <t>难度</t>
  </si>
  <si>
    <t>回合</t>
  </si>
  <si>
    <t>实际回合分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</si>
</sst>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2" borderId="0" xfId="0" applyFill="1" applyProtection="1">
      <alignment vertical="center"/>
      <protection locked="0"/>
    </xf>
    <xf numFmtId="0" fontId="0" fillId="0" borderId="0" xfId="0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D3" sqref="D3"/>
    </sheetView>
  </sheetViews>
  <sheetFormatPr defaultColWidth="9" defaultRowHeight="13.5"/>
  <cols>
    <col min="1" max="1" width="9" style="1"/>
    <col min="2" max="3" width="12.625" style="1"/>
    <col min="4" max="4" width="11.5" style="1"/>
    <col min="5" max="7" width="12.625" style="1"/>
    <col min="8" max="16384" width="9" style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6</v>
      </c>
    </row>
    <row r="2" spans="1:9">
      <c r="A2" s="1" t="s">
        <v>7</v>
      </c>
      <c r="B2" s="2">
        <v>80000000</v>
      </c>
      <c r="C2" s="2">
        <v>80000000</v>
      </c>
      <c r="D2" s="2">
        <v>40000000</v>
      </c>
      <c r="E2" s="2">
        <v>80000000</v>
      </c>
      <c r="F2" s="2">
        <v>80000000</v>
      </c>
      <c r="I2" s="1" t="s">
        <v>8</v>
      </c>
    </row>
    <row r="3" spans="1:9">
      <c r="A3" s="1" t="s">
        <v>9</v>
      </c>
      <c r="B3" s="3">
        <f>ROUND(IF(B2&gt;100000000,(B2-100000000)/5000*0.0001+4450,IF(B2&gt;75000000,(B2-75000000)/5000*0.01+4400,IF(B2&gt;50000000,(B2-50000000)/5000*0.04+4200,IF(B2&gt;25000000,(B2-25000000)/5000*0.2+3200,IF(B2&gt;10000000,(B2-10000000)/5000*0.4+2000,B2/5000))))),0)</f>
        <v>4410</v>
      </c>
      <c r="C3" s="3">
        <f>ROUND(IF(C2&gt;100000000,(C2-100000000)/5000*0.0001+4450,IF(C2&gt;75000000,(C2-75000000)/5000*0.01+4400,IF(C2&gt;50000000,(C2-50000000)/5000*0.04+4200,IF(C2&gt;25000000,(C2-25000000)/5000*0.2+3200,IF(C2&gt;10000000,(C2-10000000)/5000*0.4+2000,C2/5000))))),0)</f>
        <v>4410</v>
      </c>
      <c r="D3" s="3">
        <f>ROUND(IF(D2&gt;100000000,(D2-100000000)/5000*0.0001+4450,IF(D2&gt;75000000,(D2-75000000)/5000*0.01+4400,IF(D2&gt;50000000,(D2-50000000)/5000*0.04+4200,IF(D2&gt;25000000,(D2-25000000)/5000*0.2+3200,IF(D2&gt;10000000,(D2-10000000)/5000*0.4+2000,D2/5000))))),0)</f>
        <v>3800</v>
      </c>
      <c r="E3" s="3">
        <f>ROUND(IF(E2&gt;100000000,(E2-100000000)/5000*0.0001+4450,IF(E2&gt;75000000,(E2-75000000)/5000*0.01+4400,IF(E2&gt;50000000,(E2-50000000)/5000*0.04+4200,IF(E2&gt;25000000,(E2-25000000)/5000*0.2+3200,IF(E2&gt;10000000,(E2-10000000)/5000*0.4+2000,E2/5000))))),0)</f>
        <v>4410</v>
      </c>
      <c r="F3" s="3">
        <f>ROUND(IF(F2&gt;100000000,(F2-100000000)/5000*0.0001+4450,IF(F2&gt;75000000,(F2-75000000)/5000*0.01+4400,IF(F2&gt;50000000,(F2-50000000)/5000*0.04+4200,IF(F2&gt;25000000,(F2-25000000)/5000*0.2+3200,IF(F2&gt;10000000,(F2-10000000)/5000*0.4+2000,F2/5000))))),0)</f>
        <v>4410</v>
      </c>
      <c r="G3" s="3">
        <f>SUM(B3:F3)</f>
        <v>21440</v>
      </c>
      <c r="I3" s="1" t="s">
        <v>10</v>
      </c>
    </row>
    <row r="4" spans="1:9">
      <c r="A4" s="1" t="s">
        <v>11</v>
      </c>
      <c r="B4" s="2">
        <v>50000</v>
      </c>
    </row>
    <row r="5" spans="1:9">
      <c r="A5" s="1" t="s">
        <v>12</v>
      </c>
      <c r="B5" s="2">
        <v>65000</v>
      </c>
    </row>
    <row r="6" spans="1:9">
      <c r="A6" s="1" t="s">
        <v>13</v>
      </c>
      <c r="B6" s="2">
        <v>1.3</v>
      </c>
    </row>
    <row r="9" spans="1:9">
      <c r="A9" s="1" t="s">
        <v>14</v>
      </c>
      <c r="B9" s="1">
        <f>(G3+B4+B5)*B6</f>
        <v>177372</v>
      </c>
    </row>
    <row r="16" spans="1:9">
      <c r="A16" s="1" t="s">
        <v>15</v>
      </c>
    </row>
    <row r="17" spans="1:2">
      <c r="A17" s="1" t="s">
        <v>16</v>
      </c>
      <c r="B17" s="1">
        <v>40</v>
      </c>
    </row>
    <row r="18" spans="1:2">
      <c r="A18" s="1" t="s">
        <v>17</v>
      </c>
      <c r="B18" s="1">
        <v>5</v>
      </c>
    </row>
    <row r="19" spans="1:2">
      <c r="A19" s="1" t="s">
        <v>18</v>
      </c>
      <c r="B19" s="1">
        <f>ROUND(50000*0.9^(B18-1-(B17-40)),0)</f>
        <v>32805</v>
      </c>
    </row>
  </sheetData>
  <sheetProtection selectLockedCells="1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 xu</dc:creator>
  <cp:lastModifiedBy>我的心情复杂</cp:lastModifiedBy>
  <dcterms:created xsi:type="dcterms:W3CDTF">2023-05-12T11:15:00Z</dcterms:created>
  <dcterms:modified xsi:type="dcterms:W3CDTF">2025-12-13T18:59:49Z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0915C4D855054A0698575273F3D68E7F_12</vt:lpwstr>
  </property>
  <property fmtid="{D5CDD505-2E9C-101B-9397-08002B2CF9AE}" pid="4" name="CalculationRule">
    <vt:i4>0</vt:i4>
  </property>
</Properties>
</file>