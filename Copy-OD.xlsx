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/>
  </bookViews>
  <sheets>
    <sheet name="OD表(OD率版 暂定)" sheetId="1" state="hidden" r:id="rId3"/>
    <sheet name="OD表(OD率版 20260328更新）" sheetId="2" r:id="rId4"/>
  </sheets>
  <calcPr/>
</workbook>
</file>

<file path=xl/sharedStrings.xml><?xml version="1.0" encoding="utf-8"?>
<sst xmlns="http://schemas.openxmlformats.org/spreadsheetml/2006/main" count="44" uniqueCount="44">
  <si>
    <t/>
  </si>
  <si>
    <t>OD率版 2025/4/19</t>
  </si>
  <si>
    <t>1、目前仅支持所有目标OD率相同，如出现多个目标OD率不同的情况，请分目标计算OD后求和</t>
  </si>
  <si>
    <t>OD计算</t>
  </si>
  <si>
    <t>原始hit数</t>
  </si>
  <si>
    <t>附加连击数</t>
  </si>
  <si>
    <t>固定OD（%)</t>
  </si>
  <si>
    <t>目标数</t>
  </si>
  <si>
    <t>耳环系数</t>
  </si>
  <si>
    <t>幼儿化</t>
  </si>
  <si>
    <t>实际OD增益系数</t>
  </si>
  <si>
    <t>目标OD率</t>
  </si>
  <si>
    <t>耐性</t>
  </si>
  <si>
    <t>普攻</t>
  </si>
  <si>
    <t>实际OD百分比%</t>
  </si>
  <si>
    <t>实际hit数（仅参考用）</t>
  </si>
  <si>
    <t>OD速查</t>
  </si>
  <si>
    <t>其他OD增益%</t>
  </si>
  <si>
    <t>大海不良分子</t>
  </si>
  <si>
    <t>大海不良分子
(耐性)</t>
  </si>
  <si>
    <t>哀傷的雪花蓮(break)</t>
  </si>
  <si>
    <t>哀傷的雪花蓮
(耐性&amp;break)</t>
  </si>
  <si>
    <t>豪邁！海盜加農炮
(1目标）</t>
  </si>
  <si>
    <t>豪邁！海盜加農炮
(2目标）</t>
  </si>
  <si>
    <t>豪邁！海盜加農炮
(3目标）</t>
  </si>
  <si>
    <t>冰凍圓舞曲(OD)</t>
  </si>
  <si>
    <t xml:space="preserve"> ‘；</t>
  </si>
  <si>
    <t>萬紫千紅</t>
  </si>
  <si>
    <t>野獸牢獄</t>
  </si>
  <si>
    <t>蒼焰螺旋</t>
  </si>
  <si>
    <t xml:space="preserve"> </t>
  </si>
  <si>
    <t>破壞女王</t>
  </si>
  <si>
    <t>天使光線</t>
  </si>
  <si>
    <t>急凍咒語</t>
  </si>
  <si>
    <t>神樂淨火‧閃</t>
  </si>
  <si>
    <t>三日月宗近</t>
  </si>
  <si>
    <t>純潔之吻</t>
  </si>
  <si>
    <t>星火燎原</t>
  </si>
  <si>
    <t>天降聖光</t>
  </si>
  <si>
    <t>2026/03/28更新</t>
  </si>
  <si>
    <t>1、按照实测情况，更正了上方OD率公式</t>
  </si>
  <si>
    <t>4.76+</t>
  </si>
  <si>
    <t>0.94+</t>
  </si>
  <si>
    <r>
      <rPr>
        <b val="1"/>
        <i val="0"/>
        <strike val="0"/>
        <color rgb="FFFFFFFF"/>
        <sz val="10"/>
        <u val="none"/>
      </rPr>
      <t>其他OD增益</t>
    </r>
    <r>
      <rPr>
        <b val="1"/>
        <i val="0"/>
        <strike val="1"/>
        <color rgb="FFFFFFFF"/>
        <sz val="10"/>
        <u val="none"/>
      </rPr>
      <t>%</t>
    </r>
  </si>
</sst>
</file>

<file path=xl/styles.xml><?xml version="1.0" encoding="utf-8"?>
<styleSheet xmlns="http://schemas.openxmlformats.org/spreadsheetml/2006/main">
  <numFmts count="1">
    <numFmt numFmtId="300" formatCode="0.000"/>
  </numFmts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b val="1"/>
      <color rgb="FFFFFFFF"/>
    </font>
    <font/>
    <font>
      <sz val="9"/>
    </font>
    <font/>
    <font>
      <b val="1"/>
      <color rgb="FF000000"/>
    </font>
    <font>
      <b val="1"/>
      <color rgb="FF000000"/>
    </font>
  </fonts>
  <fills count="20">
    <fill>
      <patternFill patternType="none"/>
    </fill>
    <fill>
      <patternFill patternType="gray125"/>
    </fill>
    <fill/>
    <fill/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F3EB"/>
        <bgColor rgb="FFFFF3EB"/>
      </patternFill>
    </fill>
    <fill>
      <patternFill patternType="solid">
        <fgColor rgb="FFFFF3EB"/>
        <bgColor rgb="FFFFF3EB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F7E8F9"/>
      </patternFill>
    </fill>
    <fill>
      <patternFill patternType="solid">
        <fgColor rgb="FFF7E8F9"/>
      </patternFill>
    </fill>
    <fill>
      <patternFill patternType="solid">
        <fgColor rgb="FFFDEBFF"/>
        <bgColor rgb="FFFDEBFF"/>
      </patternFill>
    </fill>
  </fills>
  <borders count="22">
    <border>
      <left/>
      <right/>
      <top/>
      <bottom/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>
    <xf numFmtId="0" fontId="0" fillId="0" borderId="0" xfId="0">
      <alignment vertical="center"/>
    </xf>
  </cellStyleXfs>
  <cellXfs count="10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vertical="center"/>
    </xf>
    <xf fontId="0" fillId="0" borderId="1" xfId="0">
      <alignment vertical="center"/>
    </xf>
    <xf fontId="0" fillId="0" borderId="2" xfId="0">
      <alignment vertical="center"/>
    </xf>
    <xf fontId="0" fillId="0" borderId="3" xfId="0">
      <alignment vertical="center"/>
    </xf>
    <xf fontId="0" fillId="4" borderId="4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5" borderId="0" xfId="0">
      <alignment vertical="center"/>
    </xf>
    <xf fontId="0" fillId="6" borderId="0" xfId="0">
      <alignment vertical="center"/>
    </xf>
    <xf fontId="3" fillId="7" borderId="7" xfId="0">
      <alignment horizontal="center" vertical="center"/>
    </xf>
    <xf fontId="3" fillId="7" borderId="8" xfId="0">
      <alignment horizontal="center" vertical="center"/>
    </xf>
    <xf fontId="3" fillId="7" borderId="9" xfId="0">
      <alignment horizontal="center" vertical="center"/>
    </xf>
    <xf fontId="3" fillId="7" borderId="10" xfId="0">
      <alignment horizontal="center" vertical="center"/>
    </xf>
    <xf fontId="3" fillId="7" borderId="11" xfId="0">
      <alignment horizontal="center" vertical="center"/>
    </xf>
    <xf fontId="3" fillId="8" borderId="8" xfId="0">
      <alignment horizontal="center" vertical="center"/>
    </xf>
    <xf fontId="3" fillId="7" borderId="12" xfId="0">
      <alignment horizontal="center" vertical="center"/>
    </xf>
    <xf fontId="4" fillId="9" borderId="11" xfId="0">
      <alignment horizontal="center" vertical="center"/>
    </xf>
    <xf fontId="3" fillId="7" borderId="13" xfId="0">
      <alignment horizontal="center" vertical="center"/>
    </xf>
    <xf fontId="0" fillId="0" borderId="9" xfId="0">
      <alignment horizontal="center" vertical="center"/>
    </xf>
    <xf fontId="0" fillId="0" borderId="11" xfId="0">
      <alignment horizontal="center" vertical="center"/>
    </xf>
    <xf numFmtId="0" fontId="0" fillId="0" borderId="10" xfId="0">
      <alignment horizontal="center" vertical="center"/>
    </xf>
    <xf numFmtId="0" fontId="0" fillId="0" borderId="9" xfId="0">
      <alignment horizontal="center" vertical="center"/>
    </xf>
    <xf numFmtId="0" fontId="5" fillId="0" borderId="9" xfId="0">
      <alignment horizontal="center" vertical="center" wrapText="0"/>
    </xf>
    <xf numFmtId="0" fontId="6" fillId="0" borderId="9" xfId="0">
      <alignment horizontal="center" vertical="center" wrapText="0"/>
    </xf>
    <xf numFmtId="10" fontId="7" fillId="0" borderId="14" xfId="0">
      <alignment horizontal="center" vertical="center"/>
    </xf>
    <xf numFmtId="10" fontId="0" fillId="0" borderId="11" xfId="0">
      <alignment horizontal="center" vertical="center"/>
    </xf>
    <xf numFmtId="9" fontId="0" fillId="0" borderId="11" xfId="0">
      <alignment horizontal="center" vertical="center"/>
    </xf>
    <xf numFmtId="0" fontId="0" fillId="0" borderId="11" xfId="0">
      <alignment horizontal="center" vertical="center"/>
    </xf>
    <xf numFmtId="10" fontId="0" fillId="0" borderId="14" xfId="0">
      <alignment horizontal="center" vertical="center"/>
    </xf>
    <xf numFmtId="300" fontId="0" fillId="0" borderId="9" xfId="0">
      <alignment horizontal="center" vertical="center"/>
    </xf>
    <xf fontId="0" fillId="10" borderId="9" xfId="0">
      <alignment horizontal="center" vertical="center"/>
    </xf>
    <xf fontId="0" fillId="10" borderId="0" xfId="0">
      <alignment horizontal="center" vertical="center"/>
    </xf>
    <xf fontId="0" fillId="10" borderId="10" xfId="0">
      <alignment horizontal="center" vertical="center"/>
    </xf>
    <xf numFmtId="0" fontId="0" fillId="10" borderId="9" xfId="0">
      <alignment horizontal="center" vertical="center"/>
    </xf>
    <xf numFmtId="0" fontId="0" fillId="10" borderId="9" xfId="0">
      <alignment horizontal="center" vertical="center" wrapText="0"/>
    </xf>
    <xf numFmtId="0" fontId="6" fillId="10" borderId="9" xfId="0">
      <alignment horizontal="center" vertical="center" wrapText="0"/>
    </xf>
    <xf numFmtId="10" fontId="7" fillId="10" borderId="14" xfId="0">
      <alignment horizontal="center" vertical="center"/>
    </xf>
    <xf numFmtId="10" fontId="0" fillId="10" borderId="11" xfId="0">
      <alignment horizontal="center" vertical="center"/>
    </xf>
    <xf numFmtId="9" fontId="0" fillId="10" borderId="11" xfId="0">
      <alignment horizontal="center" vertical="center"/>
    </xf>
    <xf numFmtId="0" fontId="0" fillId="10" borderId="11" xfId="0">
      <alignment horizontal="center" vertical="center"/>
    </xf>
    <xf numFmtId="10" fontId="0" fillId="10" borderId="14" xfId="0">
      <alignment horizontal="center" vertical="center"/>
    </xf>
    <xf numFmtId="300" fontId="0" fillId="10" borderId="9" xfId="0">
      <alignment horizontal="center" vertical="center"/>
    </xf>
    <xf fontId="0" fillId="0" borderId="10" xfId="0">
      <alignment horizontal="center" vertical="center"/>
    </xf>
    <xf numFmtId="0" fontId="0" fillId="0" borderId="9" xfId="0">
      <alignment horizontal="center" vertical="center" wrapText="0"/>
    </xf>
    <xf fontId="0" fillId="10" borderId="11" xfId="0">
      <alignment horizontal="center" vertical="center"/>
    </xf>
    <xf fontId="0" fillId="0" borderId="0" xfId="0">
      <alignment vertical="center"/>
    </xf>
    <xf numFmtId="9" fontId="0" fillId="2" borderId="11" xfId="0">
      <alignment horizontal="center" vertical="center"/>
    </xf>
    <xf numFmtId="9" fontId="0" fillId="11" borderId="11" xfId="0">
      <alignment horizontal="center" vertical="center"/>
    </xf>
    <xf fontId="0" fillId="10" borderId="14" xfId="0">
      <alignment horizontal="center" vertical="center"/>
    </xf>
    <xf fontId="0" fillId="10" borderId="10" xfId="0">
      <alignment horizontal="center" vertical="center" wrapText="0"/>
    </xf>
    <xf fontId="8" fillId="12" borderId="0" xfId="0">
      <alignment horizontal="center" vertical="center"/>
    </xf>
    <xf fontId="9" fillId="12" borderId="0" xfId="0">
      <alignment horizontal="center" vertical="center"/>
    </xf>
    <xf fontId="9" fillId="13" borderId="0" xfId="0">
      <alignment horizontal="center" vertical="center"/>
    </xf>
    <xf fontId="9" fillId="14" borderId="8" xfId="0">
      <alignment horizontal="center" vertical="center"/>
    </xf>
    <xf fontId="9" fillId="15" borderId="15" xfId="0">
      <alignment horizontal="center" vertical="center"/>
    </xf>
    <xf fontId="9" fillId="15" borderId="0" xfId="0">
      <alignment horizontal="center" vertical="center"/>
    </xf>
    <xf fontId="0" fillId="16" borderId="0" xfId="0">
      <alignment vertical="center"/>
    </xf>
    <xf fontId="0" fillId="17" borderId="9" xfId="0">
      <alignment horizontal="center" vertical="center"/>
    </xf>
    <xf fontId="0" fillId="2" borderId="9" xfId="0">
      <alignment horizontal="center" vertical="center"/>
    </xf>
    <xf fontId="0" fillId="17" borderId="11" xfId="0">
      <alignment horizontal="center" vertical="center"/>
    </xf>
    <xf fontId="0" fillId="2" borderId="10" xfId="0">
      <alignment horizontal="center" vertical="center"/>
    </xf>
    <xf numFmtId="0" fontId="0" fillId="17" borderId="9" xfId="0">
      <alignment horizontal="center" vertical="center"/>
    </xf>
    <xf numFmtId="0" fontId="0" fillId="2" borderId="9" xfId="0">
      <alignment horizontal="center" vertical="center" wrapText="0"/>
    </xf>
    <xf numFmtId="0" fontId="6" fillId="17" borderId="9" xfId="0">
      <alignment horizontal="center" vertical="center" wrapText="0"/>
    </xf>
    <xf numFmtId="10" fontId="0" fillId="17" borderId="11" xfId="0">
      <alignment horizontal="center" vertical="center"/>
    </xf>
    <xf fontId="0" fillId="18" borderId="9" xfId="0">
      <alignment horizontal="center" vertical="center" wrapText="1"/>
    </xf>
    <xf fontId="0" fillId="18" borderId="11" xfId="0">
      <alignment horizontal="center" vertical="center"/>
    </xf>
    <xf numFmtId="0" fontId="0" fillId="18" borderId="9" xfId="0">
      <alignment horizontal="center" vertical="center"/>
    </xf>
    <xf numFmtId="0" fontId="6" fillId="18" borderId="9" xfId="0">
      <alignment horizontal="center" vertical="center" wrapText="0"/>
    </xf>
    <xf numFmtId="10" fontId="0" fillId="18" borderId="11" xfId="0">
      <alignment horizontal="center" vertical="center"/>
    </xf>
    <xf numFmtId="0" fontId="0" fillId="0" borderId="16" xfId="0">
      <alignment horizontal="center" vertical="center"/>
    </xf>
    <xf fontId="0" fillId="17" borderId="9" xfId="0">
      <alignment horizontal="center" vertical="center" wrapText="1"/>
    </xf>
    <xf numFmtId="10" fontId="0" fillId="18" borderId="16" xfId="0">
      <alignment horizontal="center" vertical="center"/>
    </xf>
    <xf fontId="0" fillId="18" borderId="9" xfId="0">
      <alignment horizontal="center" vertical="center"/>
    </xf>
    <xf numFmtId="10" fontId="0" fillId="0" borderId="16" xfId="0">
      <alignment horizontal="center" vertical="center"/>
    </xf>
    <xf fontId="0" fillId="19" borderId="9" xfId="0">
      <alignment horizontal="center" vertical="center"/>
    </xf>
    <xf fontId="0" fillId="19" borderId="11" xfId="0">
      <alignment horizontal="center" vertical="center"/>
    </xf>
    <xf numFmtId="0" fontId="0" fillId="19" borderId="9" xfId="0">
      <alignment horizontal="center" vertical="center"/>
    </xf>
    <xf numFmtId="0" fontId="6" fillId="19" borderId="9" xfId="0">
      <alignment horizontal="center" vertical="center" wrapText="0"/>
    </xf>
    <xf numFmtId="10" fontId="0" fillId="19" borderId="11" xfId="0">
      <alignment horizontal="center" vertical="center"/>
    </xf>
    <xf numFmtId="0" fontId="0" fillId="19" borderId="11" xfId="0">
      <alignment horizontal="center" vertical="center"/>
    </xf>
    <xf numFmtId="300" fontId="0" fillId="19" borderId="9" xfId="0">
      <alignment horizontal="center" vertical="center"/>
    </xf>
    <xf fontId="0" fillId="0" borderId="0" xfId="0">
      <alignment vertical="center" wrapText="0"/>
    </xf>
    <xf fontId="0" fillId="0" borderId="17" xfId="0">
      <alignment vertical="center" textRotation="0" indent="0" justifyLastLine="0" shrinkToFit="0"/>
    </xf>
    <xf fontId="0" fillId="0" borderId="17" xfId="0">
      <alignment vertical="center"/>
    </xf>
    <xf fontId="0" fillId="2" borderId="18" xfId="0">
      <alignment vertical="center" textRotation="0" indent="0" justifyLastLine="0" shrinkToFit="0"/>
    </xf>
    <xf fontId="0" fillId="2" borderId="19" xfId="0">
      <alignment vertical="center"/>
    </xf>
    <xf fontId="0" fillId="2" borderId="20" xfId="0">
      <alignment vertical="center"/>
    </xf>
    <xf fontId="0" fillId="3" borderId="21" xfId="0">
      <alignment vertical="center" textRotation="0" indent="0" justifyLastLine="0" shrinkToFit="0"/>
    </xf>
    <xf fontId="0" fillId="0" borderId="21" xfId="0">
      <alignment vertical="center"/>
    </xf>
    <xf numFmtId="68" fontId="7" fillId="0" borderId="14" xfId="0">
      <alignment horizontal="center" vertical="center"/>
    </xf>
    <xf numFmtId="67" fontId="0" fillId="0" borderId="11" xfId="0">
      <alignment horizontal="center" vertical="center"/>
    </xf>
    <xf numFmtId="68" fontId="7" fillId="10" borderId="14" xfId="0">
      <alignment horizontal="center" vertical="center"/>
    </xf>
    <xf numFmtId="67" fontId="0" fillId="10" borderId="11" xfId="0">
      <alignment horizontal="center" vertical="center"/>
    </xf>
    <xf numFmtId="10" fontId="0" fillId="10" borderId="9" xfId="0">
      <alignment horizontal="center" vertical="center"/>
    </xf>
    <xf numFmtId="67" fontId="0" fillId="2" borderId="11" xfId="0">
      <alignment horizontal="center" vertical="center"/>
    </xf>
    <xf numFmtId="67" fontId="0" fillId="11" borderId="11" xfId="0">
      <alignment horizontal="center" vertical="center"/>
    </xf>
  </cellXfs>
  <dxfs count="2">
    <dxf>
      <fill>
        <patternFill patternType="solid">
          <fgColor rgb="FFFDEBFF"/>
          <bgColor rgb="FFFDEBFF"/>
        </patternFill>
      </fill>
    </dxf>
    <dxf>
      <font>
        <b val="1"/>
        <color rgb="FFFFFFFF"/>
      </font>
      <fill>
        <patternFill patternType="solid">
          <fgColor rgb="FF9A38D7"/>
          <bgColor rgb="FF9A38D7"/>
        </patternFill>
      </fill>
    </dxf>
  </dxfs>
  <tableStyles count="1" defaultTableStyle="TableStyleMedium2" defaultPivotStyle="PivotStyleLight16">
    <tableStyle name="TENCENT_DOCS_BUILD_IN_TABLE_STYLE_COL_normal_#9A38D7" table="1" count="4">
      <tableStyleElement type="firstColumnStripe" dxfId="0"/>
      <tableStyleElement type="secondRowStripe" dxfId="0"/>
      <tableStyleElement type="firstColumn" dxfId="1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_3077266929_自动重命名5397343238" displayName="表_3077266929_自动重命名5397343238" ref="B20:O40" headerRowCount="1" totalsRowCount="0">
  <tableColumns count="14">
    <tableColumn id="1" name="OD速查"/>
    <tableColumn id="2" name="原始hit数"/>
    <tableColumn id="3" name="附加连击数"/>
    <tableColumn id="4" name="固定OD（%)"/>
    <tableColumn id="5" name="目标数"/>
    <tableColumn id="6" name="耳环系数"/>
    <tableColumn id="7" name="幼儿化"/>
    <tableColumn id="8" name="其他OD增益%"/>
    <tableColumn id="9" name="实际OD增益系数"/>
    <tableColumn id="14" name="目标OD率"/>
    <tableColumn id="10" name="耐性"/>
    <tableColumn id="11" name="普攻"/>
    <tableColumn id="12" name="实际OD百分比%"/>
    <tableColumn id="13" name="实际hit数（仅参考用）"/>
  </tableColumns>
  <tableStyleInfo name="TENCENT_DOCS_BUILD_IN_TABLE_STYLE_COL_normal_#9A38D7" showFirstColumn="0" showColumnStripes="1"/>
</table>
</file>

<file path=xl/tables/table2.xml><?xml version="1.0" encoding="utf-8"?>
<table xmlns="http://schemas.openxmlformats.org/spreadsheetml/2006/main" id="2" name="表_3077266929_自动重命名5397343238_自动重命名6604559119" displayName="表_3077266929_自动重命名5397343238_自动重命名6604559119" ref="B22:O42" headerRowCount="1" totalsRowCount="0">
  <tableColumns count="14">
    <tableColumn id="1" name="OD速查"/>
    <tableColumn id="2" name="原始hit数"/>
    <tableColumn id="3" name="附加连击数"/>
    <tableColumn id="4" name="固定OD（%)"/>
    <tableColumn id="5" name="目标数"/>
    <tableColumn id="6" name="耳环系数"/>
    <tableColumn id="7" name="幼儿化"/>
    <tableColumn id="8" name="其他OD增益%"/>
    <tableColumn id="9" name="实际OD增益系数"/>
    <tableColumn id="14" name="目标OD率"/>
    <tableColumn id="10" name="耐性"/>
    <tableColumn id="11" name="普攻"/>
    <tableColumn id="12" name="实际OD百分比%"/>
    <tableColumn id="13" name="实际hit数（仅参考用）"/>
  </tableColumns>
  <tableStyleInfo name="TENCENT_DOCS_BUILD_IN_TABLE_STYLE_COL_normal_#9A38D7" showFirstColumn="0" showColumnStripes="1"/>
</table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OD表(OD率版 暂定)">
    <tabColor/>
  </sheetPr>
  <dimension ref="C44"/>
  <sheetViews>
    <sheetView showGridLines="1" rightToLeft="0" workbookViewId="0"/>
  </sheetViews>
  <sheetFormatPr baseColWidth="13" defaultRowHeight="18" customHeight="1"/>
  <cols>
    <col min="1" max="1" width="1.34375" customWidth="1"/>
    <col min="2" max="2" width="15.5117" customWidth="1"/>
    <col min="3" max="5" width="10.793" customWidth="1"/>
    <col min="6" max="7" width="9.44141" customWidth="1"/>
    <col min="8" max="8" width="6.20312" customWidth="1"/>
    <col min="10" max="10" width="14.7031" customWidth="1"/>
    <col min="11" max="11" width="12.543" customWidth="1"/>
    <col min="12" max="13" width="5.39062" customWidth="1"/>
    <col min="14" max="15" width="19.5508" customWidth="1"/>
    <col min="16" max="16" width="1.34375" customWidth="1"/>
  </cols>
  <sheetData>
    <row r="1" spans="1:16" s="4" customFormat="1" ht="6" customHeight="1">
      <c r="A1" s="4" t="s"/>
      <c r="J1" s="4" t="s"/>
      <c r="K1" s="4" t="s"/>
      <c r="L1" s="4" t="s"/>
      <c r="M1" s="4" t="s"/>
      <c r="N1" s="4" t="s"/>
      <c r="O1" s="4" t="s"/>
      <c r="P1" s="4" t="s"/>
    </row>
    <row r="2" spans="1:16" s="4" customFormat="1" ht="25.5" customHeight="1">
      <c r="A2" s="5" t="s"/>
      <c r="B2" s="6" t="s">
        <v>1</v>
      </c>
      <c r="C2" s="7" t="s"/>
      <c r="D2" s="7" t="s"/>
      <c r="E2" s="7" t="s"/>
      <c r="F2" s="7" t="s"/>
      <c r="G2" s="7" t="s"/>
      <c r="H2" s="7" t="s"/>
      <c r="I2" s="8" t="s"/>
      <c r="J2" s="5" t="s"/>
      <c r="K2" s="5" t="s"/>
      <c r="L2" s="5" t="s"/>
      <c r="M2" s="5" t="s"/>
      <c r="N2" s="5" t="s"/>
      <c r="O2" s="5" t="s"/>
      <c r="P2" s="4" t="s"/>
    </row>
    <row r="3" spans="1:16" s="4" customFormat="1" ht="25.5" customHeight="1">
      <c r="A3" s="5" t="s"/>
      <c r="B3" s="9" t="s">
        <v>2</v>
      </c>
      <c r="C3" s="10" t="s"/>
      <c r="D3" s="10" t="s"/>
      <c r="E3" s="10" t="s"/>
      <c r="F3" s="10" t="s"/>
      <c r="G3" s="10" t="s"/>
      <c r="H3" s="10" t="s"/>
      <c r="I3" s="11" t="s"/>
      <c r="J3" s="5" t="s"/>
      <c r="K3" s="5" t="s"/>
      <c r="L3" s="5" t="s"/>
      <c r="M3" s="5" t="s"/>
      <c r="N3" s="5" t="s"/>
      <c r="O3" s="5" t="s"/>
      <c r="P3" s="4" t="s"/>
    </row>
    <row r="4" spans="1:16" s="4" customFormat="1" ht="7.5" customHeight="1">
      <c r="A4" s="4" t="s"/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</row>
    <row r="5" spans="1:16" ht="7.5" customHeight="1">
      <c r="A5" s="12" t="s"/>
      <c r="B5" s="12" t="s"/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2" t="s"/>
      <c r="O5" s="12" t="s"/>
      <c r="P5" s="13" t="s"/>
    </row>
    <row r="6" spans="1:16">
      <c r="A6" s="12" t="s"/>
      <c r="B6" s="14" t="s">
        <v>3</v>
      </c>
      <c r="C6" s="15" t="s">
        <v>4</v>
      </c>
      <c r="D6" s="16" t="s">
        <v>5</v>
      </c>
      <c r="E6" s="17" t="s">
        <v>6</v>
      </c>
      <c r="F6" s="16" t="s">
        <v>7</v>
      </c>
      <c r="G6" s="16" t="s">
        <v>8</v>
      </c>
      <c r="H6" s="16" t="s">
        <v>9</v>
      </c>
      <c r="I6" s="16" t="s">
        <v>43</v>
      </c>
      <c r="J6" s="18" t="s">
        <v>10</v>
      </c>
      <c r="K6" s="19" t="s">
        <v>11</v>
      </c>
      <c r="L6" s="20" t="s">
        <v>12</v>
      </c>
      <c r="M6" s="21" t="s">
        <v>13</v>
      </c>
      <c r="N6" s="22" t="s">
        <v>14</v>
      </c>
      <c r="O6" s="16" t="s">
        <v>15</v>
      </c>
      <c r="P6" s="13" t="s"/>
    </row>
    <row r="7" spans="1:18">
      <c r="A7" s="12" t="s"/>
      <c r="B7" s="23">
        <v>1</v>
      </c>
      <c r="C7" s="23">
        <v>10</v>
      </c>
      <c r="D7" s="24">
        <v>0</v>
      </c>
      <c r="E7" s="25">
        <v>0</v>
      </c>
      <c r="F7" s="26">
        <v>1</v>
      </c>
      <c r="G7" s="27">
        <v>15</v>
      </c>
      <c r="H7" s="2" t="inlineStr">
        <is>
          <t>☐</t>
        </is>
      </c>
      <c r="I7" s="29">
        <v>0</v>
      </c>
      <c r="J7" s="30">
        <f>=IF(C7&gt;9,G7,IF(C7=0,0,(IF(G7=0,0,((C7-1)/9*(G7-5)+5)))))/100*IF(M7,0,1)+1+IF(H7,0.2,0)+I7</f>
        <v>1.15</v>
      </c>
      <c r="K7" s="31">
        <v>0.85</v>
      </c>
      <c r="L7" s="2" t="inlineStr">
        <is>
          <t>☐</t>
        </is>
      </c>
      <c r="M7" s="2" t="inlineStr">
        <is>
          <t>☐</t>
        </is>
      </c>
      <c r="N7" s="33">
        <f>=IF(M7,(0.075+D7*2.5%)*J7*(IF(L7,0,1)),(ROUNDDOWN(E7*J7,2)+(C7+D7)*(IF(L7,0,1))*ROUNDDOWN(J7*K7*2.5,2)*F7)/100)</f>
        <v>0.244</v>
      </c>
      <c r="O7" s="34">
        <f>=N7*40</f>
        <v>9.76</v>
      </c>
      <c r="P7" s="13" t="s"/>
      <c r="R7" s="5" t="s"/>
    </row>
    <row r="8" spans="1:18">
      <c r="A8" s="12" t="s"/>
      <c r="B8" s="35">
        <v>2</v>
      </c>
      <c r="C8" s="35">
        <v>1</v>
      </c>
      <c r="D8" s="36">
        <v>3</v>
      </c>
      <c r="E8" s="37">
        <v>15</v>
      </c>
      <c r="F8" s="38">
        <v>1</v>
      </c>
      <c r="G8" s="39">
        <v>15</v>
      </c>
      <c r="H8" s="2" t="inlineStr">
        <is>
          <t>☐</t>
        </is>
      </c>
      <c r="I8" s="41">
        <v>0</v>
      </c>
      <c r="J8" s="42">
        <f>=IF(C8&gt;9,G8,IF(C8=0,0,(IF(G8=0,0,((C8-1)/9*(G8-5)+5)))))/100*IF(M8,0,1)+1+IF(H8,0.2,0)+I8</f>
        <v>1.05</v>
      </c>
      <c r="K8" s="43">
        <v>0.85</v>
      </c>
      <c r="L8" s="2" t="inlineStr">
        <is>
          <t>☐</t>
        </is>
      </c>
      <c r="M8" s="2" t="inlineStr">
        <is>
          <t>☐</t>
        </is>
      </c>
      <c r="N8" s="45">
        <f>=IF(M8,(0.075+D8*2.5%)*J8*(IF(L8,0,1)),(ROUNDDOWN(E8*J8,2)+(C8+D8)*(IF(L8,0,1))*ROUNDDOWN(J8*K8*2.5,2)*F8)/100)</f>
        <v>0.2467</v>
      </c>
      <c r="O8" s="46">
        <f>=N8*40</f>
        <v>9.868</v>
      </c>
      <c r="P8" s="13" t="s"/>
      <c r="R8" s="5" t="s"/>
    </row>
    <row r="9" spans="1:18">
      <c r="A9" s="12" t="s"/>
      <c r="B9" s="23">
        <v>3</v>
      </c>
      <c r="C9" s="23">
        <v>8</v>
      </c>
      <c r="D9" s="24">
        <v>0</v>
      </c>
      <c r="E9" s="47">
        <v>25</v>
      </c>
      <c r="F9" s="26">
        <v>1</v>
      </c>
      <c r="G9" s="48">
        <v>15</v>
      </c>
      <c r="H9" s="2" t="inlineStr">
        <is>
          <t>☐</t>
        </is>
      </c>
      <c r="I9" s="29">
        <v>0</v>
      </c>
      <c r="J9" s="30">
        <f>=IF(C9&gt;9,G9,IF(C9=0,0,(IF(G9=0,0,((C9-1)/9*(G9-5)+5)))))/100*IF(M9,0,1)+1+IF(H9,0.2,0)+I9</f>
        <v>1.12777777777778</v>
      </c>
      <c r="K9" s="31">
        <v>1</v>
      </c>
      <c r="L9" s="2" t="inlineStr">
        <is>
          <t>☑</t>
        </is>
      </c>
      <c r="M9" s="2" t="inlineStr">
        <is>
          <t>☐</t>
        </is>
      </c>
      <c r="N9" s="33">
        <f>=IF(M9,(0.075+D9*2.5%)*J9*(IF(L9,0,1)),(ROUNDDOWN(E9*J9,2)+(C9+D9)*(IF(L9,0,1))*ROUNDDOWN(J9*K9*2.5,2)*F9)/100)</f>
        <v>0.2819</v>
      </c>
      <c r="O9" s="34">
        <f>=N9*40</f>
        <v>11.276</v>
      </c>
      <c r="P9" s="13" t="s"/>
      <c r="R9" s="5" t="s"/>
    </row>
    <row r="10" spans="1:18">
      <c r="A10" s="12" t="s"/>
      <c r="B10" s="35">
        <v>4</v>
      </c>
      <c r="C10" s="35">
        <v>13</v>
      </c>
      <c r="D10" s="49">
        <v>5</v>
      </c>
      <c r="E10" s="37">
        <v>0</v>
      </c>
      <c r="F10" s="38">
        <v>2</v>
      </c>
      <c r="G10" s="39">
        <v>15</v>
      </c>
      <c r="H10" s="2" t="inlineStr">
        <is>
          <t>☐</t>
        </is>
      </c>
      <c r="I10" s="41">
        <v>0</v>
      </c>
      <c r="J10" s="42">
        <f>=IF(C10&gt;9,G10,IF(C10=0,0,(IF(G10=0,0,((C10-1)/9*(G10-5)+5)))))/100*IF(M10,0,1)+1+IF(H10,0.2,0)+I10</f>
        <v>1.15</v>
      </c>
      <c r="K10" s="43">
        <v>0.5</v>
      </c>
      <c r="L10" s="2" t="inlineStr">
        <is>
          <t>☐</t>
        </is>
      </c>
      <c r="M10" s="2" t="inlineStr">
        <is>
          <t>☐</t>
        </is>
      </c>
      <c r="N10" s="45">
        <f>=IF(M10,(0.075+D10*2.5%)*J10*(IF(L10,0,1)),(ROUNDDOWN(E10*J10,2)+(C10+D10)*(IF(L10,0,1))*ROUNDDOWN(J10*K10*2.5,2)*F10)/100)</f>
        <v>0.5148</v>
      </c>
      <c r="O10" s="46">
        <f>=N10*40</f>
        <v>20.592</v>
      </c>
      <c r="P10" s="13" t="s"/>
      <c r="R10" s="50" t="s"/>
    </row>
    <row r="11" spans="1:16">
      <c r="A11" s="12" t="s"/>
      <c r="B11" s="23">
        <v>5</v>
      </c>
      <c r="C11" s="23">
        <v>12</v>
      </c>
      <c r="D11" s="24">
        <v>5</v>
      </c>
      <c r="E11" s="47">
        <v>0</v>
      </c>
      <c r="F11" s="26">
        <v>1</v>
      </c>
      <c r="G11" s="48">
        <v>15</v>
      </c>
      <c r="H11" s="2" t="inlineStr">
        <is>
          <t>☐</t>
        </is>
      </c>
      <c r="I11" s="29">
        <v>0</v>
      </c>
      <c r="J11" s="30">
        <f>=IF(C11&gt;9,G11,IF(C11=0,0,(IF(G11=0,0,((C11-1)/9*(G11-5)+5)))))/100*IF(M11,0,1)+1+IF(H11,0.2,0)+I11</f>
        <v>1.15</v>
      </c>
      <c r="K11" s="31">
        <v>1</v>
      </c>
      <c r="L11" s="2" t="inlineStr">
        <is>
          <t>☐</t>
        </is>
      </c>
      <c r="M11" s="2" t="inlineStr">
        <is>
          <t>☐</t>
        </is>
      </c>
      <c r="N11" s="33">
        <f>=IF(M11,(0.075+D11*2.5%)*J11*(IF(L11,0,1)),(ROUNDDOWN(E11*J11,2)+(C11+D11)*(IF(L11,0,1))*ROUNDDOWN(J11*K11*2.5,2)*F11)/100)</f>
        <v>0.4879</v>
      </c>
      <c r="O11" s="34">
        <f>=N11*40</f>
        <v>19.516</v>
      </c>
      <c r="P11" s="13" t="s"/>
    </row>
    <row r="12" spans="1:20">
      <c r="A12" s="12" t="s"/>
      <c r="B12" s="35">
        <v>6</v>
      </c>
      <c r="C12" s="35">
        <v>2</v>
      </c>
      <c r="D12" s="49">
        <v>8</v>
      </c>
      <c r="E12" s="37">
        <v>15</v>
      </c>
      <c r="F12" s="38">
        <v>1</v>
      </c>
      <c r="G12" s="39">
        <v>15</v>
      </c>
      <c r="H12" s="2" t="inlineStr">
        <is>
          <t>☐</t>
        </is>
      </c>
      <c r="I12" s="41">
        <v>0</v>
      </c>
      <c r="J12" s="42">
        <f>=IF(C12&gt;9,G12,IF(C12=0,0,(IF(G12=0,0,((C12-1)/9*(G12-5)+5)))))/100*IF(M12,0,1)+1+IF(H12,0.2,0)+I12</f>
        <v>1.06111111111111</v>
      </c>
      <c r="K12" s="51">
        <v>1</v>
      </c>
      <c r="L12" s="2" t="inlineStr">
        <is>
          <t>☐</t>
        </is>
      </c>
      <c r="M12" s="2" t="inlineStr">
        <is>
          <t>☐</t>
        </is>
      </c>
      <c r="N12" s="45">
        <f>=IF(M12,(0.075+D12*2.5%)*J12*(IF(L12,0,1)),(ROUNDDOWN(E12*J12,2)+(C12+D12)*(IF(L12,0,1))*ROUNDDOWN(J12*K12*2.5,2)*F12)/100)</f>
        <v>0.4241</v>
      </c>
      <c r="O12" s="46">
        <f>=N12*40</f>
        <v>16.964</v>
      </c>
      <c r="P12" s="13" t="s"/>
      <c r="T12" s="50" t="s"/>
    </row>
    <row r="13" spans="1:20">
      <c r="A13" s="12" t="s"/>
      <c r="B13" s="23">
        <v>7</v>
      </c>
      <c r="C13" s="23">
        <v>10</v>
      </c>
      <c r="D13" s="24">
        <v>10</v>
      </c>
      <c r="E13" s="47">
        <v>0</v>
      </c>
      <c r="F13" s="26">
        <v>1</v>
      </c>
      <c r="G13" s="48">
        <v>15</v>
      </c>
      <c r="H13" s="2" t="inlineStr">
        <is>
          <t>☐</t>
        </is>
      </c>
      <c r="I13" s="29">
        <v>0</v>
      </c>
      <c r="J13" s="30">
        <f>=IF(C13&gt;9,G13,IF(C13=0,0,(IF(G13=0,0,((C13-1)/9*(G13-5)+5)))))/100*IF(M13,0,1)+1+IF(H13,0.2,0)+I13</f>
        <v>1.15</v>
      </c>
      <c r="K13" s="52">
        <v>0.34</v>
      </c>
      <c r="L13" s="2" t="inlineStr">
        <is>
          <t>☐</t>
        </is>
      </c>
      <c r="M13" s="2" t="inlineStr">
        <is>
          <t>☐</t>
        </is>
      </c>
      <c r="N13" s="33">
        <f>=IF(M13,(0.075+D13*2.5%)*J13*(IF(L13,0,1)),(ROUNDDOWN(E13*J13,2)+(C13+D13)*(IF(L13,0,1))*ROUNDDOWN(J13*K13*2.5,2)*F13)/100)</f>
        <v>0.194</v>
      </c>
      <c r="O13" s="34">
        <f>=N13*40</f>
        <v>7.76</v>
      </c>
      <c r="P13" s="13" t="s"/>
      <c r="T13" s="50" t="s"/>
    </row>
    <row r="14" spans="1:20">
      <c r="A14" s="12" t="s"/>
      <c r="B14" s="35">
        <v>8</v>
      </c>
      <c r="C14" s="53">
        <v>6</v>
      </c>
      <c r="D14" s="49" t="s"/>
      <c r="E14" s="37">
        <v>50</v>
      </c>
      <c r="F14" s="38">
        <v>1</v>
      </c>
      <c r="G14" s="39">
        <v>15</v>
      </c>
      <c r="H14" s="2" t="inlineStr">
        <is>
          <t>☐</t>
        </is>
      </c>
      <c r="I14" s="41">
        <v>0</v>
      </c>
      <c r="J14" s="42">
        <f>=IF(C14&gt;9,G14,IF(C14=0,0,(IF(G14=0,0,((C14-1)/9*(G14-5)+5)))))/100*IF(M14,0,1)+1+IF(H14,0.2,0)+I14</f>
        <v>1.10555555555556</v>
      </c>
      <c r="K14" s="51">
        <v>1</v>
      </c>
      <c r="L14" s="2" t="inlineStr">
        <is>
          <t>☐</t>
        </is>
      </c>
      <c r="M14" s="2" t="inlineStr">
        <is>
          <t>☐</t>
        </is>
      </c>
      <c r="N14" s="45">
        <f>=IF(M14,(0.075+D14*2.5%)*J14*(IF(L14,0,1)),(ROUNDDOWN(E14*J14,2)+(C14+D14)*(IF(L14,0,1))*ROUNDDOWN(J14*K14*2.5,2)*F14)/100)</f>
        <v>0.7183</v>
      </c>
      <c r="O14" s="46">
        <f>=N14*40</f>
        <v>28.732</v>
      </c>
      <c r="P14" s="13" t="s"/>
      <c r="T14" s="50" t="s"/>
    </row>
    <row r="15" spans="1:20">
      <c r="A15" s="12" t="s"/>
      <c r="B15" s="23">
        <v>9</v>
      </c>
      <c r="C15" s="23">
        <v>10</v>
      </c>
      <c r="D15" s="24" t="s"/>
      <c r="E15" s="47">
        <v>0</v>
      </c>
      <c r="F15" s="26">
        <v>1</v>
      </c>
      <c r="G15" s="48">
        <v>15</v>
      </c>
      <c r="H15" s="2" t="inlineStr">
        <is>
          <t>☐</t>
        </is>
      </c>
      <c r="I15" s="29">
        <v>0</v>
      </c>
      <c r="J15" s="30">
        <f>=IF(C15&gt;9,G15,IF(C15=0,0,(IF(G15=0,0,((C15-1)/9*(G15-5)+5)))))/100*IF(M15,0,1)+1+IF(H15,0.2,0)+I15</f>
        <v>1.15</v>
      </c>
      <c r="K15" s="31">
        <v>1</v>
      </c>
      <c r="L15" s="2" t="inlineStr">
        <is>
          <t>☐</t>
        </is>
      </c>
      <c r="M15" s="2" t="inlineStr">
        <is>
          <t>☐</t>
        </is>
      </c>
      <c r="N15" s="33">
        <f>=IF(M15,(0.075+D15*2.5%)*J15*(IF(L15,0,1)),(ROUNDDOWN(E15*J15,2)+(C15+D15)*(IF(L15,0,1))*ROUNDDOWN(J15*K15*2.5,2)*F15)/100)</f>
        <v>0.287</v>
      </c>
      <c r="O15" s="34">
        <f>=N15*40</f>
        <v>11.48</v>
      </c>
      <c r="P15" s="13" t="s"/>
      <c r="T15" s="5" t="s"/>
    </row>
    <row r="16" spans="1:20">
      <c r="A16" s="12" t="s"/>
      <c r="B16" s="35">
        <v>10</v>
      </c>
      <c r="C16" s="35">
        <v>8</v>
      </c>
      <c r="D16" s="49">
        <v>3</v>
      </c>
      <c r="E16" s="54">
        <v>0</v>
      </c>
      <c r="F16" s="38">
        <v>1</v>
      </c>
      <c r="G16" s="39">
        <v>15</v>
      </c>
      <c r="H16" s="2" t="inlineStr">
        <is>
          <t>☐</t>
        </is>
      </c>
      <c r="I16" s="41">
        <v>0</v>
      </c>
      <c r="J16" s="42">
        <f>=IF(C16&gt;9,G16,IF(C16=0,0,(IF(G16=0,0,((C16-1)/9*(G16-5)+5)))))/100*IF(M16,0,1)+1+IF(H16,0.2,0)+I16</f>
        <v>1.12777777777778</v>
      </c>
      <c r="K16" s="43">
        <v>1</v>
      </c>
      <c r="L16" s="2" t="inlineStr">
        <is>
          <t>☐</t>
        </is>
      </c>
      <c r="M16" s="2" t="inlineStr">
        <is>
          <t>☐</t>
        </is>
      </c>
      <c r="N16" s="45">
        <f>=IF(M16,(0.075+D16*2.5%)*J16*(IF(L16,0,1)),(ROUNDDOWN(E16*J16,2)+(C16+D16)*(IF(L16,0,1))*ROUNDDOWN(J16*K16*2.5,2)*F16)/100)</f>
        <v>0.3091</v>
      </c>
      <c r="O16" s="46">
        <f>=N16*40</f>
        <v>12.364</v>
      </c>
      <c r="P16" s="13" t="s"/>
      <c r="T16" s="50" t="s"/>
    </row>
    <row r="17" spans="1:20" ht="7.5" customHeight="1">
      <c r="A17" s="13" t="s"/>
      <c r="B17" s="12" t="s"/>
      <c r="C17" s="13" t="s"/>
      <c r="D17" s="13" t="s"/>
      <c r="E17" s="13" t="s"/>
      <c r="F17" s="13" t="s"/>
      <c r="G17" s="13" t="s"/>
      <c r="H17" s="13" t="s"/>
      <c r="I17" s="12" t="s"/>
      <c r="J17" s="13" t="s"/>
      <c r="K17" s="13" t="s"/>
      <c r="L17" s="13" t="s"/>
      <c r="M17" s="13" t="s"/>
      <c r="N17" s="12" t="s"/>
      <c r="O17" s="12" t="s"/>
      <c r="P17" s="13" t="s"/>
      <c r="T17" s="50" t="s"/>
    </row>
    <row r="18" spans="20:20">
      <c r="T18" s="50" t="s"/>
    </row>
    <row r="19" spans="1:20" ht="7.5" customHeight="1">
      <c r="A19" s="12" t="s"/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2" t="s"/>
      <c r="P19" s="12" t="s"/>
      <c r="T19" s="50" t="s"/>
    </row>
    <row r="20" spans="1:20">
      <c r="A20" s="12" t="s"/>
      <c r="B20" s="55" t="s">
        <v>16</v>
      </c>
      <c r="C20" s="56" t="s">
        <v>4</v>
      </c>
      <c r="D20" s="56" t="s">
        <v>5</v>
      </c>
      <c r="E20" s="56" t="s">
        <v>6</v>
      </c>
      <c r="F20" s="56" t="s">
        <v>7</v>
      </c>
      <c r="G20" s="56" t="s">
        <v>8</v>
      </c>
      <c r="H20" s="56" t="s">
        <v>9</v>
      </c>
      <c r="I20" s="57" t="s">
        <v>17</v>
      </c>
      <c r="J20" s="57" t="s">
        <v>10</v>
      </c>
      <c r="K20" s="58" t="s">
        <v>11</v>
      </c>
      <c r="L20" s="59" t="s">
        <v>12</v>
      </c>
      <c r="M20" s="60" t="s">
        <v>13</v>
      </c>
      <c r="N20" s="60" t="s">
        <v>14</v>
      </c>
      <c r="O20" s="60" t="s">
        <v>15</v>
      </c>
      <c r="P20" s="61" t="s"/>
      <c r="T20" s="50" t="s"/>
    </row>
    <row r="21" spans="1:20">
      <c r="A21" s="12" t="s"/>
      <c r="B21" s="62" t="s">
        <v>18</v>
      </c>
      <c r="C21" s="63">
        <v>6</v>
      </c>
      <c r="D21" s="64" t="s"/>
      <c r="E21" s="65">
        <v>50</v>
      </c>
      <c r="F21" s="66">
        <v>1</v>
      </c>
      <c r="G21" s="67">
        <v>15</v>
      </c>
      <c r="H21" s="2" t="inlineStr">
        <is>
          <t>☐</t>
        </is>
      </c>
      <c r="I21" s="30">
        <v>0</v>
      </c>
      <c r="J21" s="69">
        <f>=IF(C21&gt;9,G21,IF(C21=0,0,(IF(G21=0,0,((C21-1)/9*(G21-5)+5)))))/100*IF(M21,0,1)+1+IF(H21,0.2,0)+I21</f>
        <v>1.10555555555556</v>
      </c>
      <c r="K21" s="31">
        <v>1</v>
      </c>
      <c r="L21" s="2" t="inlineStr">
        <is>
          <t>☐</t>
        </is>
      </c>
      <c r="M21" s="2" t="inlineStr">
        <is>
          <t>☐</t>
        </is>
      </c>
      <c r="N21" s="33">
        <f>=IF(M21,(0.075+D21*2.5%)*J21*(IF(L21,0,1)),(ROUNDDOWN(E21*J21,2)+(C21+D21)*(IF(L21,0,1))*ROUNDDOWN(J21*K21*2.5,2)*F21)/100)</f>
        <v>0.7183</v>
      </c>
      <c r="O21" s="34">
        <f>=N21*40</f>
        <v>28.732</v>
      </c>
      <c r="P21" s="12" t="s"/>
      <c r="T21" s="5" t="s"/>
    </row>
    <row r="22" spans="1:20">
      <c r="A22" s="12" t="s"/>
      <c r="B22" s="70" t="s">
        <v>19</v>
      </c>
      <c r="C22" s="23">
        <v>6</v>
      </c>
      <c r="D22" s="71">
        <v>0</v>
      </c>
      <c r="E22" s="47">
        <v>50</v>
      </c>
      <c r="F22" s="72">
        <v>1</v>
      </c>
      <c r="G22" s="48">
        <v>15</v>
      </c>
      <c r="H22" s="2" t="inlineStr">
        <is>
          <t>☐</t>
        </is>
      </c>
      <c r="I22" s="30">
        <v>0</v>
      </c>
      <c r="J22" s="74">
        <f>=IF(C22&gt;9,G22,IF(C22=0,0,(IF(G22=0,0,((C22-1)/9*(G22-5)+5)))))/100*IF(M22,0,1)+1+IF(H22,0.2,0)+I22</f>
        <v>1.10555555555556</v>
      </c>
      <c r="K22" s="31">
        <v>1</v>
      </c>
      <c r="L22" s="2" t="inlineStr">
        <is>
          <t>☑</t>
        </is>
      </c>
      <c r="M22" s="2" t="inlineStr">
        <is>
          <t>☐</t>
        </is>
      </c>
      <c r="N22" s="33">
        <f>=IF(M22,(0.075+D22*2.5%)*J22*(IF(L22,0,1)),(ROUNDDOWN(E22*J22,2)+(C22+D22)*(IF(L22,0,1))*ROUNDDOWN(J22*K22*2.5,2)*F22)/100)</f>
        <v>0.5527</v>
      </c>
      <c r="O22" s="34">
        <f>=N22*40</f>
        <v>22.108</v>
      </c>
      <c r="P22" s="12" t="s"/>
      <c r="T22" s="5" t="s"/>
    </row>
    <row r="23" spans="1:20">
      <c r="A23" s="12" t="s"/>
      <c r="B23" s="76" t="s">
        <v>20</v>
      </c>
      <c r="C23" s="63">
        <v>2</v>
      </c>
      <c r="D23" s="64">
        <v>0</v>
      </c>
      <c r="E23" s="65">
        <v>150</v>
      </c>
      <c r="F23" s="66">
        <v>1</v>
      </c>
      <c r="G23" s="67">
        <v>15</v>
      </c>
      <c r="H23" s="2" t="inlineStr">
        <is>
          <t>☐</t>
        </is>
      </c>
      <c r="I23" s="30">
        <v>0</v>
      </c>
      <c r="J23" s="69">
        <f>=IF(C23&gt;9,G23,IF(C23=0,0,(IF(G23=0,0,((C23-1)/9*(G23-5)+5)))))/100*IF(M23,0,1)+1+IF(H23,0.2,0)+I23</f>
        <v>1.06111111111111</v>
      </c>
      <c r="K23" s="31">
        <v>1</v>
      </c>
      <c r="L23" s="2" t="inlineStr">
        <is>
          <t>☐</t>
        </is>
      </c>
      <c r="M23" s="2" t="inlineStr">
        <is>
          <t>☐</t>
        </is>
      </c>
      <c r="N23" s="33">
        <f>=IF(M23,(0.075+D23*2.5%)*J23*(IF(L23,0,1)),(ROUNDDOWN(E23*J23,2)+(C23+D23)*(IF(L23,0,1))*ROUNDDOWN(J23*K23*2.5,2)*F23)/100)</f>
        <v>1.6446</v>
      </c>
      <c r="O23" s="34">
        <f>=N23*40</f>
        <v>65.784</v>
      </c>
      <c r="P23" s="12" t="s"/>
      <c r="T23" s="5" t="s"/>
    </row>
    <row r="24" spans="1:20">
      <c r="A24" s="12" t="s"/>
      <c r="B24" s="70" t="s">
        <v>21</v>
      </c>
      <c r="C24" s="23">
        <v>2</v>
      </c>
      <c r="D24" s="71">
        <v>0</v>
      </c>
      <c r="E24" s="47">
        <v>150</v>
      </c>
      <c r="F24" s="72">
        <v>1</v>
      </c>
      <c r="G24" s="48">
        <v>15</v>
      </c>
      <c r="H24" s="2" t="inlineStr">
        <is>
          <t>☐</t>
        </is>
      </c>
      <c r="I24" s="30">
        <v>0</v>
      </c>
      <c r="J24" s="77">
        <f>=IF(C24&gt;9,G24,IF(C24=0,0,(IF(G24=0,0,((C24-1)/9*(G24-5)+5)))))/100*IF(M24,0,1)+1+IF(H24,0.2,0)+I24</f>
        <v>1.06111111111111</v>
      </c>
      <c r="K24" s="31">
        <v>1</v>
      </c>
      <c r="L24" s="2" t="inlineStr">
        <is>
          <t>☑</t>
        </is>
      </c>
      <c r="M24" s="2" t="inlineStr">
        <is>
          <t>☐</t>
        </is>
      </c>
      <c r="N24" s="33">
        <f>=IF(M24,(0.075+D24*2.5%)*J24*(IF(L24,0,1)),(ROUNDDOWN(E24*J24,2)+(C24+D24)*(IF(L24,0,1))*ROUNDDOWN(J24*K24*2.5,2)*F24)/100)</f>
        <v>1.5916</v>
      </c>
      <c r="O24" s="34">
        <f>=N24*40</f>
        <v>63.664</v>
      </c>
      <c r="P24" s="12" t="s"/>
      <c r="T24" s="5" t="s"/>
    </row>
    <row r="25" spans="1:20">
      <c r="A25" s="12" t="s"/>
      <c r="B25" s="76" t="s">
        <v>22</v>
      </c>
      <c r="C25" s="63">
        <v>5</v>
      </c>
      <c r="D25" s="64">
        <v>10</v>
      </c>
      <c r="E25" s="65">
        <v>0</v>
      </c>
      <c r="F25" s="66">
        <v>1</v>
      </c>
      <c r="G25" s="67">
        <v>15</v>
      </c>
      <c r="H25" s="2" t="inlineStr">
        <is>
          <t>☐</t>
        </is>
      </c>
      <c r="I25" s="30">
        <v>0</v>
      </c>
      <c r="J25" s="69">
        <f>=IF(C25&gt;9,G25,IF(C25=0,0,(IF(G25=0,0,((C25-1)/9*(G25-5)+5)))))/100*IF(M25,0,1)+1+IF(H25,0.2,0)+I25</f>
        <v>1.09444444444444</v>
      </c>
      <c r="K25" s="31">
        <v>1</v>
      </c>
      <c r="L25" s="2" t="inlineStr">
        <is>
          <t>☐</t>
        </is>
      </c>
      <c r="M25" s="2" t="inlineStr">
        <is>
          <t>☐</t>
        </is>
      </c>
      <c r="N25" s="33">
        <f>=IF(M25,(0.075+D25*2.5%)*J25*(IF(L25,0,1)),(ROUNDDOWN(E25*J25,2)+(C25+D25)*(IF(L25,0,1))*ROUNDDOWN(J25*K25*2.5,2)*F25)/100)</f>
        <v>0.4095</v>
      </c>
      <c r="O25" s="34">
        <f>=N25*40</f>
        <v>16.38</v>
      </c>
      <c r="P25" s="12" t="s"/>
      <c r="T25" s="5" t="s"/>
    </row>
    <row r="26" spans="1:20" ht="32.25" customHeight="1">
      <c r="A26" s="12" t="s"/>
      <c r="B26" s="76" t="s">
        <v>23</v>
      </c>
      <c r="C26" s="63">
        <v>5</v>
      </c>
      <c r="D26" s="64">
        <v>3</v>
      </c>
      <c r="E26" s="65">
        <v>0</v>
      </c>
      <c r="F26" s="66">
        <v>2</v>
      </c>
      <c r="G26" s="67">
        <v>15</v>
      </c>
      <c r="H26" s="2" t="inlineStr">
        <is>
          <t>☐</t>
        </is>
      </c>
      <c r="I26" s="30">
        <v>0</v>
      </c>
      <c r="J26" s="69">
        <f>=IF(C26&gt;9,G26,IF(C26=0,0,(IF(G26=0,0,((C26-1)/9*(G26-5)+5)))))/100*IF(M26,0,1)+1+IF(H26,0.2,0)+I26</f>
        <v>1.09444444444444</v>
      </c>
      <c r="K26" s="31">
        <v>1</v>
      </c>
      <c r="L26" s="2" t="inlineStr">
        <is>
          <t>☐</t>
        </is>
      </c>
      <c r="M26" s="2" t="inlineStr">
        <is>
          <t>☐</t>
        </is>
      </c>
      <c r="N26" s="33">
        <f>=IF(M26,(0.075+D26*2.5%)*J26*(IF(L26,0,1)),(ROUNDDOWN(E26*J26,2)+(C26+D26)*(IF(L26,0,1))*ROUNDDOWN(J26*K26*2.5,2)*F26)/100)</f>
        <v>0.4368</v>
      </c>
      <c r="O26" s="34">
        <f>=N26*40</f>
        <v>17.472</v>
      </c>
      <c r="P26" s="12" t="s"/>
      <c r="T26" s="5" t="s"/>
    </row>
    <row r="27" spans="1:20">
      <c r="A27" s="12" t="s"/>
      <c r="B27" s="76" t="s">
        <v>24</v>
      </c>
      <c r="C27" s="63">
        <v>5</v>
      </c>
      <c r="D27" s="64">
        <v>1</v>
      </c>
      <c r="E27" s="65">
        <v>0</v>
      </c>
      <c r="F27" s="66">
        <v>3</v>
      </c>
      <c r="G27" s="67">
        <v>15</v>
      </c>
      <c r="H27" s="2" t="inlineStr">
        <is>
          <t>☐</t>
        </is>
      </c>
      <c r="I27" s="30">
        <v>0</v>
      </c>
      <c r="J27" s="69">
        <f>=IF(C27&gt;9,G27,IF(C27=0,0,(IF(G27=0,0,((C27-1)/9*(G27-5)+5)))))/100*IF(M27,0,1)+1+IF(H27,0.2,0)+I27</f>
        <v>1.09444444444444</v>
      </c>
      <c r="K27" s="31">
        <v>1</v>
      </c>
      <c r="L27" s="2" t="inlineStr">
        <is>
          <t>☐</t>
        </is>
      </c>
      <c r="M27" s="2" t="inlineStr">
        <is>
          <t>☐</t>
        </is>
      </c>
      <c r="N27" s="33">
        <f>=IF(M27,(0.075+D27*2.5%)*J27*(IF(L27,0,1)),(ROUNDDOWN(E27*J27,2)+(C27+D27)*(IF(L27,0,1))*ROUNDDOWN(J27*K27*2.5,2)*F27)/100)</f>
        <v>0.4914</v>
      </c>
      <c r="O27" s="34">
        <f>=N27*40</f>
        <v>19.656</v>
      </c>
      <c r="P27" s="12" t="s"/>
      <c r="T27" s="5" t="s"/>
    </row>
    <row r="28" spans="1:21">
      <c r="A28" s="12" t="s"/>
      <c r="B28" s="62" t="s">
        <v>25</v>
      </c>
      <c r="C28" s="63">
        <v>12</v>
      </c>
      <c r="D28" s="64">
        <v>3</v>
      </c>
      <c r="E28" s="65">
        <v>0</v>
      </c>
      <c r="F28" s="66">
        <v>2</v>
      </c>
      <c r="G28" s="67">
        <v>15</v>
      </c>
      <c r="H28" s="2" t="inlineStr">
        <is>
          <t>☑</t>
        </is>
      </c>
      <c r="I28" s="30">
        <v>0</v>
      </c>
      <c r="J28" s="69">
        <f>=IF(C28&gt;9,G28,IF(C28=0,0,(IF(G28=0,0,((C28-1)/9*(G28-5)+5)))))/100*IF(M28,0,1)+1+IF(H28,0.2,0)+I28</f>
        <v>1.35</v>
      </c>
      <c r="K28" s="31">
        <v>1</v>
      </c>
      <c r="L28" s="2" t="inlineStr">
        <is>
          <t>☐</t>
        </is>
      </c>
      <c r="M28" s="2" t="inlineStr">
        <is>
          <t>☐</t>
        </is>
      </c>
      <c r="N28" s="33">
        <f>=IF(M28,(0.075+D28*2.5%)*J28*(IF(L28,0,1)),(ROUNDDOWN(E28*J28,2)+(C28+D28)*(IF(L28,0,1))*ROUNDDOWN(J28*K28*2.5,2)*F28)/100)</f>
        <v>1.011</v>
      </c>
      <c r="O28" s="34">
        <f>=N28*40</f>
        <v>40.44</v>
      </c>
      <c r="P28" s="12" t="s"/>
      <c r="T28" s="5" t="s"/>
      <c r="U28" t="s">
        <v>26</v>
      </c>
    </row>
    <row r="29" spans="1:20">
      <c r="A29" s="12" t="s"/>
      <c r="B29" s="62" t="s">
        <v>27</v>
      </c>
      <c r="C29" s="63">
        <v>12</v>
      </c>
      <c r="D29" s="64">
        <v>0</v>
      </c>
      <c r="E29" s="65">
        <v>0</v>
      </c>
      <c r="F29" s="66">
        <v>1</v>
      </c>
      <c r="G29" s="67">
        <v>15</v>
      </c>
      <c r="H29" s="2" t="inlineStr">
        <is>
          <t>☐</t>
        </is>
      </c>
      <c r="I29" s="30">
        <v>0</v>
      </c>
      <c r="J29" s="69">
        <f>=IF(C29&gt;9,G29,IF(C29=0,0,(IF(G29=0,0,((C29-1)/9*(G29-5)+5)))))/100*IF(M29,0,1)+1+IF(H29,0.2,0)+I29</f>
        <v>1.15</v>
      </c>
      <c r="K29" s="31">
        <v>1</v>
      </c>
      <c r="L29" s="2" t="inlineStr">
        <is>
          <t>☐</t>
        </is>
      </c>
      <c r="M29" s="2" t="inlineStr">
        <is>
          <t>☐</t>
        </is>
      </c>
      <c r="N29" s="33">
        <f>=IF(M29,(0.075+D29*2.5%)*J29*(IF(L29,0,1)),(ROUNDDOWN(E29*J29,2)+(C29+D29)*(IF(L29,0,1))*ROUNDDOWN(J29*K29*2.5,2)*F29)/100)</f>
        <v>0.3444</v>
      </c>
      <c r="O29" s="34">
        <f>=N29*40</f>
        <v>13.776</v>
      </c>
      <c r="P29" s="12" t="s"/>
      <c r="T29" s="50" t="s"/>
    </row>
    <row r="30" spans="1:20">
      <c r="A30" s="12" t="s"/>
      <c r="B30" s="78" t="s">
        <v>28</v>
      </c>
      <c r="C30" s="23">
        <v>11</v>
      </c>
      <c r="D30" s="71">
        <v>0</v>
      </c>
      <c r="E30" s="47">
        <v>0</v>
      </c>
      <c r="F30" s="26">
        <v>1</v>
      </c>
      <c r="G30" s="48">
        <v>15</v>
      </c>
      <c r="H30" s="2" t="inlineStr">
        <is>
          <t>☐</t>
        </is>
      </c>
      <c r="I30" s="30">
        <v>0</v>
      </c>
      <c r="J30" s="74">
        <f>=IF(C30&gt;9,G30,IF(C30=0,0,(IF(G30=0,0,((C30-1)/9*(G30-5)+5)))))/100*IF(M30,0,1)+1+IF(H30,0.2,0)+I30</f>
        <v>1.15</v>
      </c>
      <c r="K30" s="31">
        <v>1</v>
      </c>
      <c r="L30" s="2" t="inlineStr">
        <is>
          <t>☐</t>
        </is>
      </c>
      <c r="M30" s="2" t="inlineStr">
        <is>
          <t>☐</t>
        </is>
      </c>
      <c r="N30" s="33">
        <f>=IF(M30,(0.075+D30*2.5%)*J30*(IF(L30,0,1)),(ROUNDDOWN(E30*J30,2)+(C30+D30)*(IF(L30,0,1))*ROUNDDOWN(J30*K30*2.5,2)*F30)/100)</f>
        <v>0.3157</v>
      </c>
      <c r="O30" s="34">
        <f>=N30*40</f>
        <v>12.628</v>
      </c>
      <c r="P30" s="12" t="s"/>
      <c r="T30" s="50" t="s"/>
    </row>
    <row r="31" spans="1:18">
      <c r="A31" s="12" t="s"/>
      <c r="B31" s="23" t="s">
        <v>29</v>
      </c>
      <c r="C31" s="23">
        <v>10</v>
      </c>
      <c r="D31" s="24">
        <v>0</v>
      </c>
      <c r="E31" s="47">
        <v>0</v>
      </c>
      <c r="F31" s="26">
        <v>3</v>
      </c>
      <c r="G31" s="48">
        <v>15</v>
      </c>
      <c r="H31" s="2" t="inlineStr">
        <is>
          <t>☐</t>
        </is>
      </c>
      <c r="I31" s="30">
        <v>0</v>
      </c>
      <c r="J31" s="77">
        <f>=IF(C31&gt;9,G31,IF(C31=0,0,(IF(G31=0,0,((C31-1)/9*(G31-5)+5)))))/100*IF(M31,0,1)+1+IF(H31,0.2,0)+I31</f>
        <v>1.15</v>
      </c>
      <c r="K31" s="31">
        <v>1</v>
      </c>
      <c r="L31" s="2" t="inlineStr">
        <is>
          <t>☐</t>
        </is>
      </c>
      <c r="M31" s="2" t="inlineStr">
        <is>
          <t>☐</t>
        </is>
      </c>
      <c r="N31" s="33">
        <f>=IF(M31,(0.075+D31*2.5%)*J31*(IF(L31,0,1)),(ROUNDDOWN(E31*J31,2)+(C31+D31)*(IF(L31,0,1))*ROUNDDOWN(J31*K31*2.5,2)*F31)/100)</f>
        <v>0.861</v>
      </c>
      <c r="O31" s="34">
        <f>=N31*40</f>
        <v>34.44</v>
      </c>
      <c r="P31" s="12" t="s"/>
      <c r="R31" t="s">
        <v>30</v>
      </c>
    </row>
    <row r="32" spans="1:16">
      <c r="A32" s="12" t="s"/>
      <c r="B32" s="23" t="s">
        <v>31</v>
      </c>
      <c r="C32" s="23">
        <v>9</v>
      </c>
      <c r="D32" s="24">
        <v>0</v>
      </c>
      <c r="E32" s="47">
        <v>0</v>
      </c>
      <c r="F32" s="26">
        <v>1</v>
      </c>
      <c r="G32" s="48">
        <v>15</v>
      </c>
      <c r="H32" s="2" t="inlineStr">
        <is>
          <t>☐</t>
        </is>
      </c>
      <c r="I32" s="30">
        <v>0</v>
      </c>
      <c r="J32" s="77">
        <f>=IF(C32&gt;9,G32,IF(C32=0,0,(IF(G32=0,0,((C32-1)/9*(G32-5)+5)))))/100*IF(M32,0,1)+1+IF(H32,0.2,0)+I32</f>
        <v>1.13888888888889</v>
      </c>
      <c r="K32" s="31">
        <v>1</v>
      </c>
      <c r="L32" s="2" t="inlineStr">
        <is>
          <t>☐</t>
        </is>
      </c>
      <c r="M32" s="2" t="inlineStr">
        <is>
          <t>☐</t>
        </is>
      </c>
      <c r="N32" s="33">
        <f>=IF(M32,(0.075+D32*2.5%)*J32*(IF(L32,0,1)),(ROUNDDOWN(E32*J32,2)+(C32+D32)*(IF(L32,0,1))*ROUNDDOWN(J32*K32*2.5,2)*F32)/100)</f>
        <v>0.2556</v>
      </c>
      <c r="O32" s="34">
        <f>=N32*40</f>
        <v>10.224</v>
      </c>
      <c r="P32" s="12" t="s"/>
    </row>
    <row r="33" spans="1:16">
      <c r="A33" s="12" t="s"/>
      <c r="B33" s="23" t="s">
        <v>32</v>
      </c>
      <c r="C33" s="23">
        <v>8</v>
      </c>
      <c r="D33" s="24">
        <v>0</v>
      </c>
      <c r="E33" s="47">
        <v>0</v>
      </c>
      <c r="F33" s="26">
        <v>1</v>
      </c>
      <c r="G33" s="48">
        <v>15</v>
      </c>
      <c r="H33" s="2" t="inlineStr">
        <is>
          <t>☐</t>
        </is>
      </c>
      <c r="I33" s="30">
        <v>0</v>
      </c>
      <c r="J33" s="79">
        <f>=IF(C33&gt;9,G33,IF(C33=0,0,(IF(G33=0,0,((C33-1)/9*(G33-5)+5)))))/100*IF(M33,0,1)+1+IF(H33,0.2,0)+I33</f>
        <v>1.12777777777778</v>
      </c>
      <c r="K33" s="31">
        <v>1</v>
      </c>
      <c r="L33" s="2" t="inlineStr">
        <is>
          <t>☐</t>
        </is>
      </c>
      <c r="M33" s="2" t="inlineStr">
        <is>
          <t>☐</t>
        </is>
      </c>
      <c r="N33" s="33">
        <f>=IF(M33,(0.075+D33*2.5%)*J33*(IF(L33,0,1)),(ROUNDDOWN(E33*J33,2)+(C33+D33)*(IF(L33,0,1))*ROUNDDOWN(J33*K33*2.5,2)*F33)/100)</f>
        <v>0.2248</v>
      </c>
      <c r="O33" s="34">
        <f>=N33*40</f>
        <v>8.992</v>
      </c>
      <c r="P33" s="12" t="s"/>
    </row>
    <row r="34" spans="1:16">
      <c r="A34" s="12" t="s"/>
      <c r="B34" s="23" t="s">
        <v>33</v>
      </c>
      <c r="C34" s="23">
        <v>6</v>
      </c>
      <c r="D34" s="24">
        <v>0</v>
      </c>
      <c r="E34" s="47">
        <v>0</v>
      </c>
      <c r="F34" s="26">
        <v>1</v>
      </c>
      <c r="G34" s="48">
        <v>15</v>
      </c>
      <c r="H34" s="2" t="inlineStr">
        <is>
          <t>☐</t>
        </is>
      </c>
      <c r="I34" s="30">
        <v>0</v>
      </c>
      <c r="J34" s="30">
        <f>=IF(C34&gt;9,G34,IF(C34=0,0,(IF(G34=0,0,((C34-1)/9*(G34-5)+5)))))/100*IF(M34,0,1)+1+IF(H34,0.2,0)+I34</f>
        <v>1.10555555555556</v>
      </c>
      <c r="K34" s="31">
        <v>1</v>
      </c>
      <c r="L34" s="2" t="inlineStr">
        <is>
          <t>☐</t>
        </is>
      </c>
      <c r="M34" s="2" t="inlineStr">
        <is>
          <t>☐</t>
        </is>
      </c>
      <c r="N34" s="33">
        <f>=IF(M34,(0.075+D34*2.5%)*J34*(IF(L34,0,1)),(ROUNDDOWN(E34*J34,2)+(C34+D34)*(IF(L34,0,1))*ROUNDDOWN(J34*K34*2.5,2)*F34)/100)</f>
        <v>0.1656</v>
      </c>
      <c r="O34" s="34">
        <f>=N34*40</f>
        <v>6.624</v>
      </c>
      <c r="P34" s="12" t="s"/>
    </row>
    <row r="35" spans="1:16">
      <c r="A35" s="12" t="s"/>
      <c r="B35" s="23" t="s">
        <v>34</v>
      </c>
      <c r="C35" s="23">
        <v>5</v>
      </c>
      <c r="D35" s="24">
        <v>0</v>
      </c>
      <c r="E35" s="47">
        <v>0</v>
      </c>
      <c r="F35" s="26">
        <v>2</v>
      </c>
      <c r="G35" s="48">
        <v>0</v>
      </c>
      <c r="H35" s="2" t="inlineStr">
        <is>
          <t>☐</t>
        </is>
      </c>
      <c r="I35" s="30">
        <v>0</v>
      </c>
      <c r="J35" s="79">
        <f>=IF(C35&gt;9,G35,IF(C35=0,0,(IF(G35=0,0,((C35-1)/9*(G35-5)+5)))))/100*IF(M35,0,1)+1+IF(H35,0.2,0)+I35</f>
        <v>1</v>
      </c>
      <c r="K35" s="31">
        <v>1</v>
      </c>
      <c r="L35" s="2" t="inlineStr">
        <is>
          <t>☐</t>
        </is>
      </c>
      <c r="M35" s="2" t="inlineStr">
        <is>
          <t>☐</t>
        </is>
      </c>
      <c r="N35" s="33">
        <f>=IF(M35,(0.075+D35*2.5%)*J35*(IF(L35,0,1)),(ROUNDDOWN(E35*J35,2)+(C35+D35)*(IF(L35,0,1))*ROUNDDOWN(J35*K35*2.5,2)*F35)/100)</f>
        <v>0.25</v>
      </c>
      <c r="O35" s="34">
        <f>=N35*40</f>
        <v>10</v>
      </c>
      <c r="P35" s="12" t="s"/>
    </row>
    <row r="36" spans="1:16">
      <c r="A36" s="12" t="s"/>
      <c r="B36" s="23" t="s">
        <v>35</v>
      </c>
      <c r="C36" s="23">
        <v>4</v>
      </c>
      <c r="D36" s="24">
        <v>6</v>
      </c>
      <c r="E36" s="47">
        <v>0</v>
      </c>
      <c r="F36" s="26">
        <v>1</v>
      </c>
      <c r="G36" s="48">
        <v>15</v>
      </c>
      <c r="H36" s="2" t="inlineStr">
        <is>
          <t>☐</t>
        </is>
      </c>
      <c r="I36" s="30">
        <v>0</v>
      </c>
      <c r="J36" s="79">
        <f>=IF(C36&gt;9,G36,IF(C36=0,0,(IF(G36=0,0,((C36-1)/9*(G36-5)+5)))))/100*IF(M36,0,1)+1+IF(H36,0.2,0)+I36</f>
        <v>1.08333333333333</v>
      </c>
      <c r="K36" s="31">
        <v>1</v>
      </c>
      <c r="L36" s="2" t="inlineStr">
        <is>
          <t>☐</t>
        </is>
      </c>
      <c r="M36" s="2" t="inlineStr">
        <is>
          <t>☐</t>
        </is>
      </c>
      <c r="N36" s="33">
        <f>=IF(M36,(0.075+D36*2.5%)*J36*(IF(L36,0,1)),(ROUNDDOWN(E36*J36,2)+(C36+D36)*(IF(L36,0,1))*ROUNDDOWN(J36*K36*2.5,2)*F36)/100)</f>
        <v>0.27</v>
      </c>
      <c r="O36" s="34">
        <f>=N36*40</f>
        <v>10.8</v>
      </c>
      <c r="P36" s="12" t="s"/>
    </row>
    <row r="37" spans="1:16">
      <c r="A37" s="12" t="s"/>
      <c r="B37" s="23" t="s">
        <v>36</v>
      </c>
      <c r="C37" s="23">
        <v>3</v>
      </c>
      <c r="D37" s="24">
        <v>0</v>
      </c>
      <c r="E37" s="47">
        <v>0</v>
      </c>
      <c r="F37" s="26">
        <v>3</v>
      </c>
      <c r="G37" s="48">
        <v>15</v>
      </c>
      <c r="H37" s="2" t="inlineStr">
        <is>
          <t>☐</t>
        </is>
      </c>
      <c r="I37" s="30">
        <v>0</v>
      </c>
      <c r="J37" s="79">
        <f>=IF(C37&gt;9,G37,IF(C37=0,0,(IF(G37=0,0,((C37-1)/9*(G37-5)+5)))))/100*IF(M37,0,1)+1+IF(H37,0.2,0)+I37</f>
        <v>1.07222222222222</v>
      </c>
      <c r="K37" s="31">
        <v>1</v>
      </c>
      <c r="L37" s="2" t="inlineStr">
        <is>
          <t>☐</t>
        </is>
      </c>
      <c r="M37" s="2" t="inlineStr">
        <is>
          <t>☐</t>
        </is>
      </c>
      <c r="N37" s="33">
        <f>=IF(M37,(0.075+D37*2.5%)*J37*(IF(L37,0,1)),(ROUNDDOWN(E37*J37,2)+(C37+D37)*(IF(L37,0,1))*ROUNDDOWN(J37*K37*2.5,2)*F37)/100)</f>
        <v>0.2412</v>
      </c>
      <c r="O37" s="34">
        <f>=N37*40</f>
        <v>9.648</v>
      </c>
      <c r="P37" s="12" t="s"/>
    </row>
    <row r="38" spans="1:16">
      <c r="A38" s="12" t="s"/>
      <c r="B38" s="23" t="s">
        <v>37</v>
      </c>
      <c r="C38" s="23">
        <v>2</v>
      </c>
      <c r="D38" s="24">
        <v>0</v>
      </c>
      <c r="E38" s="47">
        <v>0</v>
      </c>
      <c r="F38" s="26">
        <v>1</v>
      </c>
      <c r="G38" s="48">
        <v>15</v>
      </c>
      <c r="H38" s="2" t="inlineStr">
        <is>
          <t>☐</t>
        </is>
      </c>
      <c r="I38" s="30">
        <v>0</v>
      </c>
      <c r="J38" s="79">
        <f>=IF(C38&gt;9,G38,IF(C38=0,0,(IF(G38=0,0,((C38-1)/9*(G38-5)+5)))))/100*IF(M38,0,1)+1+IF(H38,0.2,0)+I38</f>
        <v>1.06111111111111</v>
      </c>
      <c r="K38" s="31">
        <v>1</v>
      </c>
      <c r="L38" s="2" t="inlineStr">
        <is>
          <t>☐</t>
        </is>
      </c>
      <c r="M38" s="2" t="inlineStr">
        <is>
          <t>☐</t>
        </is>
      </c>
      <c r="N38" s="33">
        <f>=IF(M38,(0.075+D38*2.5%)*J38*(IF(L38,0,1)),(ROUNDDOWN(E38*J38,2)+(C38+D38)*(IF(L38,0,1))*ROUNDDOWN(J38*K38*2.5,2)*F38)/100)</f>
        <v>0.053</v>
      </c>
      <c r="O38" s="34">
        <f>=N38*40</f>
        <v>2.12</v>
      </c>
      <c r="P38" s="12" t="s"/>
    </row>
    <row r="39" spans="1:16">
      <c r="A39" s="12" t="s"/>
      <c r="B39" s="23" t="s">
        <v>38</v>
      </c>
      <c r="C39" s="23">
        <v>1</v>
      </c>
      <c r="D39" s="24">
        <v>0</v>
      </c>
      <c r="E39" s="47">
        <v>0</v>
      </c>
      <c r="F39" s="26">
        <v>1</v>
      </c>
      <c r="G39" s="48">
        <v>15</v>
      </c>
      <c r="H39" s="2" t="inlineStr">
        <is>
          <t>☐</t>
        </is>
      </c>
      <c r="I39" s="30">
        <v>0</v>
      </c>
      <c r="J39" s="79">
        <f>=IF(C39&gt;9,G39,IF(C39=0,0,(IF(G39=0,0,((C39-1)/9*(G39-5)+5)))))/100*IF(M39,0,1)+1+IF(H39,0.2,0)+I39</f>
        <v>1.05</v>
      </c>
      <c r="K39" s="31">
        <v>1</v>
      </c>
      <c r="L39" s="2" t="inlineStr">
        <is>
          <t>☐</t>
        </is>
      </c>
      <c r="M39" s="2" t="inlineStr">
        <is>
          <t>☐</t>
        </is>
      </c>
      <c r="N39" s="33">
        <f>=IF(M39,(0.075+D39*2.5%)*J39*(IF(L39,0,1)),(ROUNDDOWN(E39*J39,2)+(C39+D39)*(IF(L39,0,1))*ROUNDDOWN(J39*K39*2.5,2)*F39)/100)</f>
        <v>0.0262</v>
      </c>
      <c r="O39" s="34">
        <f>=N39*40</f>
        <v>1.048</v>
      </c>
      <c r="P39" s="12" t="s"/>
    </row>
    <row r="40" spans="1:16">
      <c r="A40" s="12" t="s"/>
      <c r="B40" s="80" t="s">
        <v>13</v>
      </c>
      <c r="C40" s="23">
        <v>1</v>
      </c>
      <c r="D40" s="81">
        <v>0</v>
      </c>
      <c r="E40" s="47">
        <v>0</v>
      </c>
      <c r="F40" s="82">
        <v>1</v>
      </c>
      <c r="G40" s="48">
        <v>15</v>
      </c>
      <c r="H40" s="2" t="inlineStr">
        <is>
          <t>☐</t>
        </is>
      </c>
      <c r="I40" s="30">
        <v>0</v>
      </c>
      <c r="J40" s="84">
        <f>=IF(C40&gt;9,G40,IF(C40=0,0,(IF(G40=0,0,((C40-1)/9*(G40-5)+5)))))/100*IF(M40,0,1)+1+IF(H40,0.2,0)+I40</f>
        <v>1</v>
      </c>
      <c r="K40" s="31">
        <v>1</v>
      </c>
      <c r="L40" s="2" t="inlineStr">
        <is>
          <t>☐</t>
        </is>
      </c>
      <c r="M40" s="2" t="inlineStr">
        <is>
          <t>☑</t>
        </is>
      </c>
      <c r="N40" s="30">
        <f>=IF(M40,(0.075+D40*2.5%)*J40*(IF(L40,0,1)),(ROUNDDOWN(E40*J40,2)+(C40+D40)*(IF(L40,0,1))*ROUNDDOWN(J40*K40*2.5,2)*F40)/100)</f>
        <v>0.075</v>
      </c>
      <c r="O40" s="86">
        <f>=N40*40</f>
        <v>3</v>
      </c>
      <c r="P40" s="12" t="s"/>
    </row>
    <row r="41" spans="1:16" ht="7.5" customHeight="1">
      <c r="A41" s="12" t="s"/>
      <c r="B41" s="12" t="s"/>
      <c r="C41" s="12" t="s"/>
      <c r="D41" s="12" t="s"/>
      <c r="E41" s="12" t="s"/>
      <c r="F41" s="12" t="s"/>
      <c r="G41" s="12" t="s"/>
      <c r="H41" s="12" t="s"/>
      <c r="I41" s="12" t="s"/>
      <c r="J41" s="12" t="s"/>
      <c r="K41" s="12" t="s"/>
      <c r="L41" s="12" t="s"/>
      <c r="M41" s="12" t="s"/>
      <c r="N41" s="12" t="s"/>
      <c r="O41" s="12" t="s"/>
      <c r="P41" s="12" t="s"/>
    </row>
    <row r="43" spans="3:3">
      <c r="C43" s="87" t="s"/>
    </row>
    <row r="44" spans="3:3">
      <c r="C44" s="34" t="s"/>
    </row>
  </sheetData>
  <mergeCells count="2">
    <mergeCell ref="B2:I2"/>
    <mergeCell ref="B3:I3"/>
  </mergeCells>
  <dataValidations>
    <dataValidation type="list" errorStyle="stop" showInputMessage="1" showErrorMessage="1" prompt="" sqref="F7:F16">
      <formula1>"1,2,3,"</formula1>
      <formula2/>
    </dataValidation>
    <dataValidation type="list" errorStyle="stop" showInputMessage="1" showErrorMessage="1" prompt="" sqref="F21:F40">
      <formula1>"1,2,3,"</formula1>
      <formula2/>
    </dataValidation>
    <dataValidation type="list" errorStyle="stop" allowBlank="1" showDropDown="0" showInputMessage="1" showErrorMessage="1" prompt="" sqref="G7:G16">
      <formula1>"10,12,15,0,"</formula1>
    </dataValidation>
    <dataValidation type="list" errorStyle="stop" allowBlank="1" showDropDown="0" showInputMessage="1" showErrorMessage="1" prompt="" sqref="G21:G40">
      <formula1>"10,12,15,0,"</formula1>
    </dataValidation>
  </dataValidations>
  <tableParts count="1">
    <tablePart r:id="rId0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OD表(OD率版 20260328更新）">
    <tabColor/>
  </sheetPr>
  <dimension ref="C46"/>
  <sheetViews>
    <sheetView showGridLines="1" rightToLeft="0" workbookViewId="0"/>
  </sheetViews>
  <sheetFormatPr baseColWidth="13" defaultRowHeight="18" customHeight="1"/>
  <cols>
    <col min="1" max="1" width="1.34375" customWidth="1"/>
    <col min="2" max="2" width="15.5117" customWidth="1"/>
    <col min="3" max="5" width="10.793" customWidth="1"/>
    <col min="6" max="7" width="9.44141" customWidth="1"/>
    <col min="8" max="8" width="6.20312" customWidth="1"/>
    <col min="10" max="10" width="14.7031" customWidth="1"/>
    <col min="11" max="11" width="12.543" customWidth="1"/>
    <col min="12" max="13" width="5.39062" customWidth="1"/>
    <col min="14" max="15" width="19.5508" customWidth="1"/>
    <col min="16" max="16" width="1.34375" customWidth="1"/>
  </cols>
  <sheetData>
    <row r="1" spans="1:16" s="4" customFormat="1" ht="6" customHeight="1">
      <c r="A1" s="4" t="s"/>
      <c r="J1" s="4" t="s"/>
      <c r="K1" s="4" t="s"/>
      <c r="L1" s="4" t="s"/>
      <c r="M1" s="4" t="s"/>
      <c r="N1" s="4" t="s"/>
      <c r="O1" s="4" t="s"/>
      <c r="P1" s="4" t="s"/>
    </row>
    <row r="2" spans="1:16" s="4" customFormat="1" ht="25.5" customHeight="1">
      <c r="A2" s="5" t="s"/>
      <c r="B2" s="88" t="s">
        <v>1</v>
      </c>
      <c r="C2" s="89" t="s"/>
      <c r="D2" s="89" t="s"/>
      <c r="E2" s="89" t="s"/>
      <c r="F2" s="89" t="s"/>
      <c r="G2" s="89" t="s"/>
      <c r="H2" s="89" t="s"/>
      <c r="I2" s="89" t="s"/>
      <c r="J2" s="5" t="s"/>
      <c r="K2" s="5" t="s"/>
      <c r="L2" s="5" t="s"/>
      <c r="M2" s="5" t="s"/>
      <c r="N2" s="5" t="s"/>
      <c r="O2" s="5" t="s"/>
      <c r="P2" s="4" t="s"/>
    </row>
    <row r="3" spans="1:16" s="4" customFormat="1" ht="25.5" customHeight="1">
      <c r="A3" s="5" t="s"/>
      <c r="B3" s="90" t="s">
        <v>2</v>
      </c>
      <c r="C3" s="91" t="s"/>
      <c r="D3" s="91" t="s"/>
      <c r="E3" s="91" t="s"/>
      <c r="F3" s="91" t="s"/>
      <c r="G3" s="91" t="s"/>
      <c r="H3" s="91" t="s"/>
      <c r="I3" s="92" t="s"/>
      <c r="J3" s="5" t="s"/>
      <c r="K3" s="5" t="s">
        <v>42</v>
      </c>
      <c r="L3" s="5" t="s"/>
      <c r="M3" s="5" t="s"/>
      <c r="N3" s="5" t="s"/>
      <c r="O3" s="5" t="s"/>
      <c r="P3" s="4" t="s"/>
    </row>
    <row r="4" spans="1:16" s="4" customFormat="1" ht="25.5" customHeight="1">
      <c r="A4" s="5" t="s"/>
      <c r="B4" s="90" t="s">
        <v>39</v>
      </c>
      <c r="C4" s="91" t="s"/>
      <c r="D4" s="91" t="s"/>
      <c r="E4" s="91" t="s"/>
      <c r="F4" s="91" t="s"/>
      <c r="G4" s="91" t="s"/>
      <c r="H4" s="91" t="s"/>
      <c r="I4" s="92" t="s"/>
      <c r="J4" s="5" t="s"/>
      <c r="K4" s="5" t="s"/>
      <c r="L4" s="5" t="s"/>
      <c r="M4" s="5" t="s"/>
      <c r="N4" s="5" t="s"/>
      <c r="O4" s="5" t="s"/>
      <c r="P4" s="4" t="s"/>
    </row>
    <row r="5" spans="1:16" s="4" customFormat="1" ht="25.5" customHeight="1">
      <c r="A5" s="5" t="s"/>
      <c r="B5" s="93" t="s">
        <v>40</v>
      </c>
      <c r="C5" s="94" t="s"/>
      <c r="D5" s="94" t="s"/>
      <c r="E5" s="94" t="s"/>
      <c r="F5" s="94" t="s"/>
      <c r="G5" s="94" t="s"/>
      <c r="H5" s="94" t="s"/>
      <c r="I5" s="94" t="s"/>
      <c r="J5" s="5" t="s"/>
      <c r="K5" s="5" t="s"/>
      <c r="L5" s="5" t="s"/>
      <c r="M5" s="5" t="s"/>
      <c r="N5" s="5" t="s"/>
      <c r="O5" s="5" t="s"/>
      <c r="P5" s="4" t="s"/>
    </row>
    <row r="6" spans="1:16" s="4" customFormat="1" ht="7.5" customHeight="1">
      <c r="A6" s="4" t="s"/>
      <c r="B6" s="4" t="s"/>
      <c r="C6" s="4" t="s"/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</row>
    <row r="7" spans="1:16" ht="7.5" customHeight="1">
      <c r="A7" s="12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2" t="s"/>
      <c r="P7" s="13" t="s"/>
    </row>
    <row r="8" spans="1:16">
      <c r="A8" s="12" t="s"/>
      <c r="B8" s="14" t="s">
        <v>3</v>
      </c>
      <c r="C8" s="15" t="s">
        <v>4</v>
      </c>
      <c r="D8" s="16" t="s">
        <v>5</v>
      </c>
      <c r="E8" s="17" t="s">
        <v>6</v>
      </c>
      <c r="F8" s="16" t="s">
        <v>7</v>
      </c>
      <c r="G8" s="16" t="s">
        <v>8</v>
      </c>
      <c r="H8" s="16" t="s">
        <v>9</v>
      </c>
      <c r="I8" s="16" t="s">
        <v>43</v>
      </c>
      <c r="J8" s="18" t="s">
        <v>10</v>
      </c>
      <c r="K8" s="19" t="s">
        <v>11</v>
      </c>
      <c r="L8" s="20" t="s">
        <v>12</v>
      </c>
      <c r="M8" s="21" t="s">
        <v>13</v>
      </c>
      <c r="N8" s="22" t="s">
        <v>14</v>
      </c>
      <c r="O8" s="16" t="s">
        <v>15</v>
      </c>
      <c r="P8" s="13" t="s"/>
    </row>
    <row r="9" spans="1:18">
      <c r="A9" s="12" t="s"/>
      <c r="B9" s="23">
        <v>1</v>
      </c>
      <c r="C9" s="23">
        <v>2</v>
      </c>
      <c r="D9" s="24">
        <v>3</v>
      </c>
      <c r="E9" s="25">
        <v>0</v>
      </c>
      <c r="F9" s="26">
        <v>1</v>
      </c>
      <c r="G9" s="27">
        <v>15</v>
      </c>
      <c r="H9" s="2" t="inlineStr">
        <is>
          <t>☐</t>
        </is>
      </c>
      <c r="I9" s="95">
        <v>0.12</v>
      </c>
      <c r="J9" s="30">
        <f>=IF(C9&gt;9,G9,IF(C9=0,0,(IF(G9=0,0,((C9-1)/9*(G9-5)+5)))))/100*IF(M9,0,1)+1+IF(H9,0.2,0)+I9</f>
        <v>1.18111111111111</v>
      </c>
      <c r="K9" s="96">
        <v>1</v>
      </c>
      <c r="L9" s="2" t="inlineStr">
        <is>
          <t>☐</t>
        </is>
      </c>
      <c r="M9" s="2" t="inlineStr">
        <is>
          <t>☐</t>
        </is>
      </c>
      <c r="N9" s="33">
        <f>=IF(M9,(0.075+D9*2.5%)*J9*(IF(L9,0,1)),(ROUNDDOWN(E9*J9,2)+(C9+D9)*(IF(L9,0,1))*ROUNDDOWN(ROUNDDOWN(J9*2.5,2)*K9,2)*F9)/100)</f>
        <v>0.1475</v>
      </c>
      <c r="O9" s="34">
        <f>=N9*40</f>
        <v>5.9</v>
      </c>
      <c r="P9" s="13" t="s"/>
      <c r="R9" s="5" t="s"/>
    </row>
    <row r="10" spans="1:18">
      <c r="A10" s="12" t="s"/>
      <c r="B10" s="35">
        <v>2</v>
      </c>
      <c r="C10" s="35">
        <v>1</v>
      </c>
      <c r="D10" s="36">
        <v>3</v>
      </c>
      <c r="E10" s="37">
        <v>15</v>
      </c>
      <c r="F10" s="38">
        <v>1</v>
      </c>
      <c r="G10" s="39">
        <v>15</v>
      </c>
      <c r="H10" s="2" t="inlineStr">
        <is>
          <t>☐</t>
        </is>
      </c>
      <c r="I10" s="97">
        <v>0.12</v>
      </c>
      <c r="J10" s="42">
        <f>=IF(C10&gt;9,G10,IF(C10=0,0,(IF(G10=0,0,((C10-1)/9*(G10-5)+5)))))/100*IF(M10,0,1)+1+IF(H10,0.2,0)+I10</f>
        <v>1.17</v>
      </c>
      <c r="K10" s="98">
        <v>1</v>
      </c>
      <c r="L10" s="2" t="inlineStr">
        <is>
          <t>☐</t>
        </is>
      </c>
      <c r="M10" s="2" t="inlineStr">
        <is>
          <t>☐</t>
        </is>
      </c>
      <c r="N10" s="99">
        <f>=IF(M10,(0.075+D10*2.5%)*J10*(IF(L10,0,1)),(ROUNDDOWN(E10*J10,2)+(C10+D10)*(IF(L10,0,1))*ROUNDDOWN(ROUNDDOWN(J10*2.5,2)*K10,2)*F10)/100)</f>
        <v>0.2923</v>
      </c>
      <c r="O10" s="46">
        <f>=N10*40</f>
        <v>11.692</v>
      </c>
      <c r="P10" s="13" t="s"/>
      <c r="R10" s="5" t="s"/>
    </row>
    <row r="11" spans="1:18">
      <c r="A11" s="12" t="s"/>
      <c r="B11" s="23">
        <v>3</v>
      </c>
      <c r="C11" s="23">
        <v>8</v>
      </c>
      <c r="D11" s="24">
        <v>0</v>
      </c>
      <c r="E11" s="47">
        <v>25</v>
      </c>
      <c r="F11" s="26">
        <v>1</v>
      </c>
      <c r="G11" s="48">
        <v>15</v>
      </c>
      <c r="H11" s="2" t="inlineStr">
        <is>
          <t>☐</t>
        </is>
      </c>
      <c r="I11" s="29">
        <v>0</v>
      </c>
      <c r="J11" s="30">
        <f>=IF(C11&gt;9,G11,IF(C11=0,0,(IF(G11=0,0,((C11-1)/9*(G11-5)+5)))))/100*IF(M11,0,1)+1+IF(H11,0.2,0)+I11</f>
        <v>1.12777777777778</v>
      </c>
      <c r="K11" s="31">
        <v>1</v>
      </c>
      <c r="L11" s="2" t="inlineStr">
        <is>
          <t>☑</t>
        </is>
      </c>
      <c r="M11" s="2" t="inlineStr">
        <is>
          <t>☐</t>
        </is>
      </c>
      <c r="N11" s="33">
        <f>=IF(M11,(0.075+D11*2.5%)*J11*(IF(L11,0,1)),(ROUNDDOWN(E11*J11,2)+(C11+D11)*(IF(L11,0,1))*ROUNDDOWN(ROUNDDOWN(J11*2.5,2)*K11,2)*F11)/100)</f>
        <v>0.2819</v>
      </c>
      <c r="O11" s="34">
        <f>=N11*40</f>
        <v>11.276</v>
      </c>
      <c r="P11" s="13" t="s"/>
      <c r="R11" s="5" t="s"/>
    </row>
    <row r="12" spans="1:18">
      <c r="A12" s="12" t="s"/>
      <c r="B12" s="35">
        <v>4</v>
      </c>
      <c r="C12" s="35">
        <v>13</v>
      </c>
      <c r="D12" s="49">
        <v>17.01</v>
      </c>
      <c r="E12" s="37">
        <v>0</v>
      </c>
      <c r="F12" s="38">
        <v>2</v>
      </c>
      <c r="G12" s="39">
        <v>15</v>
      </c>
      <c r="H12" s="2" t="inlineStr">
        <is>
          <t>☐</t>
        </is>
      </c>
      <c r="I12" s="41">
        <v>0</v>
      </c>
      <c r="J12" s="42">
        <f>=IF(C12&gt;9,G12,IF(C12=0,0,(IF(G12=0,0,((C12-1)/9*(G12-5)+5)))))/100*IF(M12,0,1)+1+IF(H12,0.2,0)+I12</f>
        <v>1.15</v>
      </c>
      <c r="K12" s="43">
        <v>0.5</v>
      </c>
      <c r="L12" s="2" t="inlineStr">
        <is>
          <t>☐</t>
        </is>
      </c>
      <c r="M12" s="2" t="inlineStr">
        <is>
          <t>☐</t>
        </is>
      </c>
      <c r="N12" s="99">
        <f>=IF(M12,(0.075+D12*2.5%)*J12*(IF(L12,0,1)),(ROUNDDOWN(E12*J12,2)+(C12+D12)*(IF(L12,0,1))*ROUNDDOWN(ROUNDDOWN(J12*2.5,2)*K12,2)*F12)/100)</f>
        <v>0.858286</v>
      </c>
      <c r="O12" s="46">
        <f>=N12*40</f>
        <v>34.33144</v>
      </c>
      <c r="P12" s="13" t="s"/>
      <c r="R12" s="50" t="s"/>
    </row>
    <row r="13" spans="1:16">
      <c r="A13" s="12" t="s"/>
      <c r="B13" s="23">
        <v>5</v>
      </c>
      <c r="C13" s="23">
        <v>12</v>
      </c>
      <c r="D13" s="24">
        <v>5</v>
      </c>
      <c r="E13" s="47">
        <v>0</v>
      </c>
      <c r="F13" s="26">
        <v>1</v>
      </c>
      <c r="G13" s="48">
        <v>15</v>
      </c>
      <c r="H13" s="2" t="inlineStr">
        <is>
          <t>☐</t>
        </is>
      </c>
      <c r="I13" s="29">
        <v>0</v>
      </c>
      <c r="J13" s="30">
        <f>=IF(C13&gt;9,G13,IF(C13=0,0,(IF(G13=0,0,((C13-1)/9*(G13-5)+5)))))/100*IF(M13,0,1)+1+IF(H13,0.2,0)+I13</f>
        <v>1.15</v>
      </c>
      <c r="K13" s="31">
        <v>1</v>
      </c>
      <c r="L13" s="2" t="inlineStr">
        <is>
          <t>☐</t>
        </is>
      </c>
      <c r="M13" s="2" t="inlineStr">
        <is>
          <t>☐</t>
        </is>
      </c>
      <c r="N13" s="33">
        <f>=IF(M13,(0.075+D13*2.5%)*J13*(IF(L13,0,1)),(ROUNDDOWN(E13*J13,2)+(C13+D13)*(IF(L13,0,1))*ROUNDDOWN(ROUNDDOWN(J13*2.5,2)*K13,2)*F13)/100)</f>
        <v>0.4879</v>
      </c>
      <c r="O13" s="34">
        <f>=N13*40</f>
        <v>19.516</v>
      </c>
      <c r="P13" s="13" t="s"/>
    </row>
    <row r="14" spans="1:20">
      <c r="A14" s="12" t="s"/>
      <c r="B14" s="35">
        <v>6</v>
      </c>
      <c r="C14" s="35">
        <v>2</v>
      </c>
      <c r="D14" s="49">
        <v>3</v>
      </c>
      <c r="E14" s="37" t="s"/>
      <c r="F14" s="38">
        <v>1</v>
      </c>
      <c r="G14" s="39">
        <v>15</v>
      </c>
      <c r="H14" s="2" t="inlineStr">
        <is>
          <t>☐</t>
        </is>
      </c>
      <c r="I14" s="41">
        <v>0</v>
      </c>
      <c r="J14" s="42">
        <f>=IF(C14&gt;9,G14,IF(C14=0,0,(IF(G14=0,0,((C14-1)/9*(G14-5)+5)))))/100*IF(M14,0,1)+1+IF(H14,0.2,0)+I14</f>
        <v>1.06111111111111</v>
      </c>
      <c r="K14" s="100">
        <v>0.85</v>
      </c>
      <c r="L14" s="2" t="inlineStr">
        <is>
          <t>☐</t>
        </is>
      </c>
      <c r="M14" s="2" t="inlineStr">
        <is>
          <t>☐</t>
        </is>
      </c>
      <c r="N14" s="99">
        <f>=IF(M14,(0.075+D14*2.5%)*J14*(IF(L14,0,1)),(ROUNDDOWN(E14*J14,2)+(C14+D14)*(IF(L14,0,1))*ROUNDDOWN(ROUNDDOWN(J14*2.5,2)*K14,2)*F14)/100)</f>
        <v>0.1125</v>
      </c>
      <c r="O14" s="46">
        <f>=N14*40</f>
        <v>4.5</v>
      </c>
      <c r="P14" s="13" t="s"/>
      <c r="T14" s="50" t="s"/>
    </row>
    <row r="15" spans="1:20">
      <c r="A15" s="12" t="s"/>
      <c r="B15" s="23">
        <v>7</v>
      </c>
      <c r="C15" s="23">
        <v>5</v>
      </c>
      <c r="D15" s="24" t="s"/>
      <c r="E15" s="47">
        <v>0</v>
      </c>
      <c r="F15" s="26">
        <v>1</v>
      </c>
      <c r="G15" s="48">
        <v>15</v>
      </c>
      <c r="H15" s="2" t="inlineStr">
        <is>
          <t>☐</t>
        </is>
      </c>
      <c r="I15" s="29">
        <v>0</v>
      </c>
      <c r="J15" s="30">
        <f>=IF(C15&gt;9,G15,IF(C15=0,0,(IF(G15=0,0,((C15-1)/9*(G15-5)+5)))))/100*IF(M15,0,1)+1+IF(H15,0.2,0)+I15</f>
        <v>1.09444444444444</v>
      </c>
      <c r="K15" s="101">
        <v>0.85</v>
      </c>
      <c r="L15" s="2" t="inlineStr">
        <is>
          <t>☐</t>
        </is>
      </c>
      <c r="M15" s="2" t="inlineStr">
        <is>
          <t>☐</t>
        </is>
      </c>
      <c r="N15" s="33">
        <f>=IF(M15,(0.075+D15*2.5%)*J15*(IF(L15,0,1)),(ROUNDDOWN(E15*J15,2)+(C15+D15)*(IF(L15,0,1))*ROUNDDOWN(ROUNDDOWN(J15*2.5,2)*K15,2)*F15)/100)</f>
        <v>0.116</v>
      </c>
      <c r="O15" s="34">
        <f>=N15*40</f>
        <v>4.64</v>
      </c>
      <c r="P15" s="13" t="s"/>
      <c r="T15" s="50" t="s"/>
    </row>
    <row r="16" spans="1:20">
      <c r="A16" s="12" t="s"/>
      <c r="B16" s="35">
        <v>8</v>
      </c>
      <c r="C16" s="53">
        <v>10</v>
      </c>
      <c r="D16" s="49">
        <v>10</v>
      </c>
      <c r="E16" s="37">
        <v>0</v>
      </c>
      <c r="F16" s="38">
        <v>1</v>
      </c>
      <c r="G16" s="39">
        <v>15</v>
      </c>
      <c r="H16" s="2" t="inlineStr">
        <is>
          <t>☐</t>
        </is>
      </c>
      <c r="I16" s="41">
        <v>0</v>
      </c>
      <c r="J16" s="42">
        <f>=IF(C16&gt;9,G16,IF(C16=0,0,(IF(G16=0,0,((C16-1)/9*(G16-5)+5)))))/100*IF(M16,0,1)+1+IF(H16,0.2,0)+I16</f>
        <v>1.15</v>
      </c>
      <c r="K16" s="100">
        <v>0.85</v>
      </c>
      <c r="L16" s="2" t="inlineStr">
        <is>
          <t>☐</t>
        </is>
      </c>
      <c r="M16" s="2" t="inlineStr">
        <is>
          <t>☐</t>
        </is>
      </c>
      <c r="N16" s="99">
        <f>=IF(M16,(0.075+D16*2.5%)*J16*(IF(L16,0,1)),(ROUNDDOWN(E16*J16,2)+(C16+D16)*(IF(L16,0,1))*ROUNDDOWN(ROUNDDOWN(J16*2.5,2)*K16,2)*F16)/100)</f>
        <v>0.486</v>
      </c>
      <c r="O16" s="46">
        <f>=N16*40</f>
        <v>19.44</v>
      </c>
      <c r="P16" s="13" t="s"/>
      <c r="T16" s="50" t="s"/>
    </row>
    <row r="17" spans="1:20">
      <c r="A17" s="12" t="s"/>
      <c r="B17" s="23">
        <v>9</v>
      </c>
      <c r="C17" s="23">
        <v>6</v>
      </c>
      <c r="D17" s="24" t="s"/>
      <c r="E17" s="47">
        <v>50</v>
      </c>
      <c r="F17" s="26">
        <v>1</v>
      </c>
      <c r="G17" s="48">
        <v>15</v>
      </c>
      <c r="H17" s="2" t="inlineStr">
        <is>
          <t>☐</t>
        </is>
      </c>
      <c r="I17" s="29">
        <v>0</v>
      </c>
      <c r="J17" s="30">
        <f>=IF(C17&gt;9,G17,IF(C17=0,0,(IF(G17=0,0,((C17-1)/9*(G17-5)+5)))))/100*IF(M17,0,1)+1+IF(H17,0.2,0)+I17</f>
        <v>1.10555555555556</v>
      </c>
      <c r="K17" s="96">
        <v>0.85</v>
      </c>
      <c r="L17" s="2" t="inlineStr">
        <is>
          <t>☐</t>
        </is>
      </c>
      <c r="M17" s="2" t="inlineStr">
        <is>
          <t>☐</t>
        </is>
      </c>
      <c r="N17" s="33">
        <f>=IF(M17,(0.075+D17*2.5%)*J17*(IF(L17,0,1)),(ROUNDDOWN(E17*J17,2)+(C17+D17)*(IF(L17,0,1))*ROUNDDOWN(ROUNDDOWN(J17*2.5,2)*K17,2)*F17)/100)</f>
        <v>0.6931</v>
      </c>
      <c r="O17" s="34">
        <f>=N17*40</f>
        <v>27.724</v>
      </c>
      <c r="P17" s="13" t="s"/>
      <c r="T17" s="5" t="s"/>
    </row>
    <row r="18" spans="1:20">
      <c r="A18" s="12" t="s"/>
      <c r="B18" s="35">
        <v>10</v>
      </c>
      <c r="C18" s="35">
        <v>8</v>
      </c>
      <c r="D18" s="49">
        <v>11.25</v>
      </c>
      <c r="E18" s="54">
        <v>0</v>
      </c>
      <c r="F18" s="38">
        <v>1</v>
      </c>
      <c r="G18" s="39">
        <v>15</v>
      </c>
      <c r="H18" s="2" t="inlineStr">
        <is>
          <t>☐</t>
        </is>
      </c>
      <c r="I18" s="41">
        <v>0</v>
      </c>
      <c r="J18" s="42">
        <f>=IF(C18&gt;9,G18,IF(C18=0,0,(IF(G18=0,0,((C18-1)/9*(G18-5)+5)))))/100*IF(M18,0,1)+1+IF(H18,0.2,0)+I18</f>
        <v>1.12777777777778</v>
      </c>
      <c r="K18" s="43">
        <v>1</v>
      </c>
      <c r="L18" s="2" t="inlineStr">
        <is>
          <t>☐</t>
        </is>
      </c>
      <c r="M18" s="2" t="inlineStr">
        <is>
          <t>☐</t>
        </is>
      </c>
      <c r="N18" s="99">
        <f>=IF(M18,(0.075+D18*2.5%)*J18*(IF(L18,0,1)),(ROUNDDOWN(E18*J18,2)+(C18+D18)*(IF(L18,0,1))*ROUNDDOWN(ROUNDDOWN(J18*2.5,2)*K18,2)*F18)/100)</f>
        <v>0.540925</v>
      </c>
      <c r="O18" s="46">
        <f>=N18*40</f>
        <v>21.637</v>
      </c>
      <c r="P18" s="13" t="s"/>
      <c r="T18" s="50" t="s"/>
    </row>
    <row r="19" spans="1:20" ht="7.5" customHeight="1">
      <c r="A19" s="13" t="s"/>
      <c r="B19" s="12" t="s"/>
      <c r="C19" s="13" t="s"/>
      <c r="D19" s="13" t="s"/>
      <c r="E19" s="13" t="s"/>
      <c r="F19" s="13" t="s"/>
      <c r="G19" s="13" t="s"/>
      <c r="H19" s="13" t="s"/>
      <c r="I19" s="12" t="s"/>
      <c r="J19" s="13" t="s"/>
      <c r="K19" s="13" t="s"/>
      <c r="L19" s="13" t="s"/>
      <c r="M19" s="13" t="s"/>
      <c r="N19" s="12" t="s"/>
      <c r="O19" s="12" t="s"/>
      <c r="P19" s="13" t="s"/>
      <c r="T19" s="50" t="s"/>
    </row>
    <row r="20" spans="20:20">
      <c r="T20" s="50" t="s"/>
    </row>
    <row r="21" spans="1:20" ht="7.5" customHeight="1">
      <c r="A21" s="12" t="s"/>
      <c r="B21" s="12" t="s"/>
      <c r="C21" s="12" t="s"/>
      <c r="D21" s="12" t="s"/>
      <c r="E21" s="12" t="s"/>
      <c r="F21" s="12" t="s"/>
      <c r="G21" s="12" t="s"/>
      <c r="H21" s="12" t="s"/>
      <c r="I21" s="12" t="s"/>
      <c r="J21" s="12" t="s"/>
      <c r="K21" s="12" t="s"/>
      <c r="L21" s="12" t="s"/>
      <c r="M21" s="12" t="s"/>
      <c r="N21" s="12" t="s"/>
      <c r="O21" s="12" t="s"/>
      <c r="P21" s="12" t="s"/>
      <c r="T21" s="50" t="s"/>
    </row>
    <row r="22" spans="1:20">
      <c r="A22" s="12" t="s"/>
      <c r="B22" s="55" t="s">
        <v>16</v>
      </c>
      <c r="C22" s="56" t="s">
        <v>4</v>
      </c>
      <c r="D22" s="56" t="s">
        <v>5</v>
      </c>
      <c r="E22" s="56" t="s">
        <v>6</v>
      </c>
      <c r="F22" s="56" t="s">
        <v>7</v>
      </c>
      <c r="G22" s="56" t="s">
        <v>8</v>
      </c>
      <c r="H22" s="56" t="s">
        <v>9</v>
      </c>
      <c r="I22" s="57" t="s">
        <v>17</v>
      </c>
      <c r="J22" s="57" t="s">
        <v>10</v>
      </c>
      <c r="K22" s="58" t="s">
        <v>11</v>
      </c>
      <c r="L22" s="59" t="s">
        <v>12</v>
      </c>
      <c r="M22" s="60" t="s">
        <v>13</v>
      </c>
      <c r="N22" s="60" t="s">
        <v>14</v>
      </c>
      <c r="O22" s="60" t="s">
        <v>15</v>
      </c>
      <c r="P22" s="61" t="s"/>
      <c r="T22" s="50" t="s"/>
    </row>
    <row r="23" spans="1:20">
      <c r="A23" s="12" t="s"/>
      <c r="B23" s="62" t="s">
        <v>18</v>
      </c>
      <c r="C23" s="63">
        <v>6</v>
      </c>
      <c r="D23" s="64" t="s"/>
      <c r="E23" s="65">
        <v>50</v>
      </c>
      <c r="F23" s="66">
        <v>1</v>
      </c>
      <c r="G23" s="67">
        <v>15</v>
      </c>
      <c r="H23" s="2" t="inlineStr">
        <is>
          <t>☐</t>
        </is>
      </c>
      <c r="I23" s="30">
        <v>0</v>
      </c>
      <c r="J23" s="69">
        <f>=IF(C23&gt;9,G23,IF(C23=0,0,(IF(G23=0,0,((C23-1)/9*(G23-5)+5)))))/100*IF(M23,0,1)+1+IF(H23,0.2,0)+I23</f>
        <v>1.10555555555556</v>
      </c>
      <c r="K23" s="31">
        <v>1</v>
      </c>
      <c r="L23" s="2" t="inlineStr">
        <is>
          <t>☐</t>
        </is>
      </c>
      <c r="M23" s="2" t="inlineStr">
        <is>
          <t>☐</t>
        </is>
      </c>
      <c r="N23" s="33">
        <f>=IF(M23,(0.075+D23*2.5%)*J23*(IF(L23,0,1)),(ROUNDDOWN(E23*J23,2)+(C23+D23)*(IF(L23,0,1))*ROUNDDOWN(J23*K23*2.5,2)*F23)/100)</f>
        <v>0.7183</v>
      </c>
      <c r="O23" s="34">
        <f>=N23*40</f>
        <v>28.732</v>
      </c>
      <c r="P23" s="12" t="s"/>
      <c r="T23" s="5" t="s"/>
    </row>
    <row r="24" spans="1:20">
      <c r="A24" s="12" t="s"/>
      <c r="B24" s="70" t="s">
        <v>19</v>
      </c>
      <c r="C24" s="23">
        <v>6</v>
      </c>
      <c r="D24" s="71">
        <v>0</v>
      </c>
      <c r="E24" s="47">
        <v>50</v>
      </c>
      <c r="F24" s="72">
        <v>1</v>
      </c>
      <c r="G24" s="48">
        <v>15</v>
      </c>
      <c r="H24" s="2" t="inlineStr">
        <is>
          <t>☐</t>
        </is>
      </c>
      <c r="I24" s="30">
        <v>0</v>
      </c>
      <c r="J24" s="74">
        <f>=IF(C24&gt;9,G24,IF(C24=0,0,(IF(G24=0,0,((C24-1)/9*(G24-5)+5)))))/100*IF(M24,0,1)+1+IF(H24,0.2,0)+I24</f>
        <v>1.10555555555556</v>
      </c>
      <c r="K24" s="31">
        <v>1</v>
      </c>
      <c r="L24" s="2" t="inlineStr">
        <is>
          <t>☑</t>
        </is>
      </c>
      <c r="M24" s="2" t="inlineStr">
        <is>
          <t>☐</t>
        </is>
      </c>
      <c r="N24" s="33">
        <f>=IF(M24,(0.075+D24*2.5%)*J24*(IF(L24,0,1)),(ROUNDDOWN(E24*J24,2)+(C24+D24)*(IF(L24,0,1))*ROUNDDOWN(J24*K24*2.5,2)*F24)/100)</f>
        <v>0.5527</v>
      </c>
      <c r="O24" s="34">
        <f>=N24*40</f>
        <v>22.108</v>
      </c>
      <c r="P24" s="12" t="s"/>
      <c r="T24" s="5" t="s"/>
    </row>
    <row r="25" spans="1:20">
      <c r="A25" s="12" t="s"/>
      <c r="B25" s="76" t="s">
        <v>20</v>
      </c>
      <c r="C25" s="63">
        <v>2</v>
      </c>
      <c r="D25" s="64">
        <v>0</v>
      </c>
      <c r="E25" s="65">
        <v>150</v>
      </c>
      <c r="F25" s="66">
        <v>1</v>
      </c>
      <c r="G25" s="67">
        <v>15</v>
      </c>
      <c r="H25" s="2" t="inlineStr">
        <is>
          <t>☐</t>
        </is>
      </c>
      <c r="I25" s="30">
        <v>0</v>
      </c>
      <c r="J25" s="69">
        <f>=IF(C25&gt;9,G25,IF(C25=0,0,(IF(G25=0,0,((C25-1)/9*(G25-5)+5)))))/100*IF(M25,0,1)+1+IF(H25,0.2,0)+I25</f>
        <v>1.06111111111111</v>
      </c>
      <c r="K25" s="31">
        <v>1</v>
      </c>
      <c r="L25" s="2" t="inlineStr">
        <is>
          <t>☐</t>
        </is>
      </c>
      <c r="M25" s="2" t="inlineStr">
        <is>
          <t>☐</t>
        </is>
      </c>
      <c r="N25" s="33">
        <f>=IF(M25,(0.075+D25*2.5%)*J25*(IF(L25,0,1)),(ROUNDDOWN(E25*J25,2)+(C25+D25)*(IF(L25,0,1))*ROUNDDOWN(J25*K25*2.5,2)*F25)/100)</f>
        <v>1.6446</v>
      </c>
      <c r="O25" s="34">
        <f>=N25*40</f>
        <v>65.784</v>
      </c>
      <c r="P25" s="12" t="s"/>
      <c r="T25" s="5" t="s"/>
    </row>
    <row r="26" spans="1:20">
      <c r="A26" s="12" t="s"/>
      <c r="B26" s="70" t="s">
        <v>21</v>
      </c>
      <c r="C26" s="23">
        <v>2</v>
      </c>
      <c r="D26" s="71">
        <v>0</v>
      </c>
      <c r="E26" s="47">
        <v>150</v>
      </c>
      <c r="F26" s="72">
        <v>1</v>
      </c>
      <c r="G26" s="48">
        <v>15</v>
      </c>
      <c r="H26" s="2" t="inlineStr">
        <is>
          <t>☐</t>
        </is>
      </c>
      <c r="I26" s="30">
        <v>0</v>
      </c>
      <c r="J26" s="77">
        <f>=IF(C26&gt;9,G26,IF(C26=0,0,(IF(G26=0,0,((C26-1)/9*(G26-5)+5)))))/100*IF(M26,0,1)+1+IF(H26,0.2,0)+I26</f>
        <v>1.06111111111111</v>
      </c>
      <c r="K26" s="31">
        <v>1</v>
      </c>
      <c r="L26" s="2" t="inlineStr">
        <is>
          <t>☑</t>
        </is>
      </c>
      <c r="M26" s="2" t="inlineStr">
        <is>
          <t>☐</t>
        </is>
      </c>
      <c r="N26" s="33">
        <f>=IF(M26,(0.075+D26*2.5%)*J26*(IF(L26,0,1)),(ROUNDDOWN(E26*J26,2)+(C26+D26)*(IF(L26,0,1))*ROUNDDOWN(J26*K26*2.5,2)*F26)/100)</f>
        <v>1.5916</v>
      </c>
      <c r="O26" s="34">
        <f>=N26*40</f>
        <v>63.664</v>
      </c>
      <c r="P26" s="12" t="s"/>
      <c r="T26" s="5" t="s"/>
    </row>
    <row r="27" spans="1:20">
      <c r="A27" s="12" t="s"/>
      <c r="B27" s="76" t="s">
        <v>22</v>
      </c>
      <c r="C27" s="63">
        <v>5</v>
      </c>
      <c r="D27" s="64">
        <v>10</v>
      </c>
      <c r="E27" s="65">
        <v>0</v>
      </c>
      <c r="F27" s="66">
        <v>1</v>
      </c>
      <c r="G27" s="67">
        <v>15</v>
      </c>
      <c r="H27" s="2" t="inlineStr">
        <is>
          <t>☐</t>
        </is>
      </c>
      <c r="I27" s="30">
        <v>0</v>
      </c>
      <c r="J27" s="69">
        <f>=IF(C27&gt;9,G27,IF(C27=0,0,(IF(G27=0,0,((C27-1)/9*(G27-5)+5)))))/100*IF(M27,0,1)+1+IF(H27,0.2,0)+I27</f>
        <v>1.09444444444444</v>
      </c>
      <c r="K27" s="31">
        <v>1</v>
      </c>
      <c r="L27" s="2" t="inlineStr">
        <is>
          <t>☐</t>
        </is>
      </c>
      <c r="M27" s="2" t="inlineStr">
        <is>
          <t>☐</t>
        </is>
      </c>
      <c r="N27" s="33">
        <f>=IF(M27,(0.075+D27*2.5%)*J27*(IF(L27,0,1)),(ROUNDDOWN(E27*J27,2)+(C27+D27)*(IF(L27,0,1))*ROUNDDOWN(J27*K27*2.5,2)*F27)/100)</f>
        <v>0.4095</v>
      </c>
      <c r="O27" s="34">
        <f>=N27*40</f>
        <v>16.38</v>
      </c>
      <c r="P27" s="12" t="s"/>
      <c r="T27" s="5" t="s"/>
    </row>
    <row r="28" spans="1:20" ht="32.25" customHeight="1">
      <c r="A28" s="12" t="s"/>
      <c r="B28" s="76" t="s">
        <v>23</v>
      </c>
      <c r="C28" s="63">
        <v>5</v>
      </c>
      <c r="D28" s="64">
        <v>3</v>
      </c>
      <c r="E28" s="65">
        <v>0</v>
      </c>
      <c r="F28" s="66">
        <v>2</v>
      </c>
      <c r="G28" s="67">
        <v>15</v>
      </c>
      <c r="H28" s="2" t="inlineStr">
        <is>
          <t>☐</t>
        </is>
      </c>
      <c r="I28" s="30">
        <v>0</v>
      </c>
      <c r="J28" s="69">
        <f>=IF(C28&gt;9,G28,IF(C28=0,0,(IF(G28=0,0,((C28-1)/9*(G28-5)+5)))))/100*IF(M28,0,1)+1+IF(H28,0.2,0)+I28</f>
        <v>1.09444444444444</v>
      </c>
      <c r="K28" s="31">
        <v>1</v>
      </c>
      <c r="L28" s="2" t="inlineStr">
        <is>
          <t>☐</t>
        </is>
      </c>
      <c r="M28" s="2" t="inlineStr">
        <is>
          <t>☐</t>
        </is>
      </c>
      <c r="N28" s="33">
        <f>=IF(M28,(0.075+D28*2.5%)*J28*(IF(L28,0,1)),(ROUNDDOWN(E28*J28,2)+(C28+D28)*(IF(L28,0,1))*ROUNDDOWN(J28*K28*2.5,2)*F28)/100)</f>
        <v>0.4368</v>
      </c>
      <c r="O28" s="34">
        <f>=N28*40</f>
        <v>17.472</v>
      </c>
      <c r="P28" s="12" t="s"/>
      <c r="T28" s="5" t="s"/>
    </row>
    <row r="29" spans="1:20">
      <c r="A29" s="12" t="s"/>
      <c r="B29" s="76" t="s">
        <v>24</v>
      </c>
      <c r="C29" s="63">
        <v>5</v>
      </c>
      <c r="D29" s="64">
        <v>1</v>
      </c>
      <c r="E29" s="65">
        <v>0</v>
      </c>
      <c r="F29" s="66">
        <v>3</v>
      </c>
      <c r="G29" s="67">
        <v>15</v>
      </c>
      <c r="H29" s="2" t="inlineStr">
        <is>
          <t>☐</t>
        </is>
      </c>
      <c r="I29" s="30">
        <v>0</v>
      </c>
      <c r="J29" s="69">
        <f>=IF(C29&gt;9,G29,IF(C29=0,0,(IF(G29=0,0,((C29-1)/9*(G29-5)+5)))))/100*IF(M29,0,1)+1+IF(H29,0.2,0)+I29</f>
        <v>1.09444444444444</v>
      </c>
      <c r="K29" s="31">
        <v>1</v>
      </c>
      <c r="L29" s="2" t="inlineStr">
        <is>
          <t>☐</t>
        </is>
      </c>
      <c r="M29" s="2" t="inlineStr">
        <is>
          <t>☐</t>
        </is>
      </c>
      <c r="N29" s="33">
        <f>=IF(M29,(0.075+D29*2.5%)*J29*(IF(L29,0,1)),(ROUNDDOWN(E29*J29,2)+(C29+D29)*(IF(L29,0,1))*ROUNDDOWN(J29*K29*2.5,2)*F29)/100)</f>
        <v>0.4914</v>
      </c>
      <c r="O29" s="34">
        <f>=N29*40</f>
        <v>19.656</v>
      </c>
      <c r="P29" s="12" t="s"/>
      <c r="T29" s="5" t="s"/>
    </row>
    <row r="30" spans="1:21">
      <c r="A30" s="12" t="s"/>
      <c r="B30" s="62" t="s">
        <v>25</v>
      </c>
      <c r="C30" s="63">
        <v>12</v>
      </c>
      <c r="D30" s="64">
        <v>3</v>
      </c>
      <c r="E30" s="65">
        <v>0</v>
      </c>
      <c r="F30" s="66">
        <v>2</v>
      </c>
      <c r="G30" s="67">
        <v>15</v>
      </c>
      <c r="H30" s="2" t="inlineStr">
        <is>
          <t>☑</t>
        </is>
      </c>
      <c r="I30" s="30">
        <v>0</v>
      </c>
      <c r="J30" s="69">
        <f>=IF(C30&gt;9,G30,IF(C30=0,0,(IF(G30=0,0,((C30-1)/9*(G30-5)+5)))))/100*IF(M30,0,1)+1+IF(H30,0.2,0)+I30</f>
        <v>1.35</v>
      </c>
      <c r="K30" s="31">
        <v>1</v>
      </c>
      <c r="L30" s="2" t="inlineStr">
        <is>
          <t>☐</t>
        </is>
      </c>
      <c r="M30" s="2" t="inlineStr">
        <is>
          <t>☐</t>
        </is>
      </c>
      <c r="N30" s="33">
        <f>=IF(M30,(0.075+D30*2.5%)*J30*(IF(L30,0,1)),(ROUNDDOWN(E30*J30,2)+(C30+D30)*(IF(L30,0,1))*ROUNDDOWN(J30*K30*2.5,2)*F30)/100)</f>
        <v>1.011</v>
      </c>
      <c r="O30" s="34">
        <f>=N30*40</f>
        <v>40.44</v>
      </c>
      <c r="P30" s="12" t="s"/>
      <c r="T30" s="5" t="s"/>
      <c r="U30" t="s">
        <v>26</v>
      </c>
    </row>
    <row r="31" spans="1:20">
      <c r="A31" s="12" t="s"/>
      <c r="B31" s="62" t="s">
        <v>27</v>
      </c>
      <c r="C31" s="63">
        <v>12</v>
      </c>
      <c r="D31" s="64">
        <v>0</v>
      </c>
      <c r="E31" s="65">
        <v>0</v>
      </c>
      <c r="F31" s="66">
        <v>1</v>
      </c>
      <c r="G31" s="67">
        <v>15</v>
      </c>
      <c r="H31" s="2" t="inlineStr">
        <is>
          <t>☐</t>
        </is>
      </c>
      <c r="I31" s="30">
        <v>0</v>
      </c>
      <c r="J31" s="69">
        <f>=IF(C31&gt;9,G31,IF(C31=0,0,(IF(G31=0,0,((C31-1)/9*(G31-5)+5)))))/100*IF(M31,0,1)+1+IF(H31,0.2,0)+I31</f>
        <v>1.15</v>
      </c>
      <c r="K31" s="31">
        <v>1</v>
      </c>
      <c r="L31" s="2" t="inlineStr">
        <is>
          <t>☐</t>
        </is>
      </c>
      <c r="M31" s="2" t="inlineStr">
        <is>
          <t>☐</t>
        </is>
      </c>
      <c r="N31" s="33">
        <f>=IF(M31,(0.075+D31*2.5%)*J31*(IF(L31,0,1)),(ROUNDDOWN(E31*J31,2)+(C31+D31)*(IF(L31,0,1))*ROUNDDOWN(J31*K31*2.5,2)*F31)/100)</f>
        <v>0.3444</v>
      </c>
      <c r="O31" s="34">
        <f>=N31*40</f>
        <v>13.776</v>
      </c>
      <c r="P31" s="12" t="s"/>
      <c r="T31" s="50" t="s"/>
    </row>
    <row r="32" spans="1:20">
      <c r="A32" s="12" t="s"/>
      <c r="B32" s="78" t="s">
        <v>28</v>
      </c>
      <c r="C32" s="23">
        <v>11</v>
      </c>
      <c r="D32" s="71">
        <v>0</v>
      </c>
      <c r="E32" s="47">
        <v>0</v>
      </c>
      <c r="F32" s="26">
        <v>1</v>
      </c>
      <c r="G32" s="48">
        <v>15</v>
      </c>
      <c r="H32" s="2" t="inlineStr">
        <is>
          <t>☐</t>
        </is>
      </c>
      <c r="I32" s="30">
        <v>0</v>
      </c>
      <c r="J32" s="74">
        <f>=IF(C32&gt;9,G32,IF(C32=0,0,(IF(G32=0,0,((C32-1)/9*(G32-5)+5)))))/100*IF(M32,0,1)+1+IF(H32,0.2,0)+I32</f>
        <v>1.15</v>
      </c>
      <c r="K32" s="31">
        <v>1</v>
      </c>
      <c r="L32" s="2" t="inlineStr">
        <is>
          <t>☐</t>
        </is>
      </c>
      <c r="M32" s="2" t="inlineStr">
        <is>
          <t>☐</t>
        </is>
      </c>
      <c r="N32" s="33">
        <f>=IF(M32,(0.075+D32*2.5%)*J32*(IF(L32,0,1)),(ROUNDDOWN(E32*J32,2)+(C32+D32)*(IF(L32,0,1))*ROUNDDOWN(J32*K32*2.5,2)*F32)/100)</f>
        <v>0.3157</v>
      </c>
      <c r="O32" s="34">
        <f>=N32*40</f>
        <v>12.628</v>
      </c>
      <c r="P32" s="12" t="s"/>
      <c r="T32" s="50" t="s"/>
    </row>
    <row r="33" spans="1:18">
      <c r="A33" s="12" t="s"/>
      <c r="B33" s="23" t="s">
        <v>29</v>
      </c>
      <c r="C33" s="23">
        <v>10</v>
      </c>
      <c r="D33" s="24">
        <v>0</v>
      </c>
      <c r="E33" s="47">
        <v>0</v>
      </c>
      <c r="F33" s="26">
        <v>3</v>
      </c>
      <c r="G33" s="48">
        <v>15</v>
      </c>
      <c r="H33" s="2" t="inlineStr">
        <is>
          <t>☐</t>
        </is>
      </c>
      <c r="I33" s="30">
        <v>0</v>
      </c>
      <c r="J33" s="77">
        <f>=IF(C33&gt;9,G33,IF(C33=0,0,(IF(G33=0,0,((C33-1)/9*(G33-5)+5)))))/100*IF(M33,0,1)+1+IF(H33,0.2,0)+I33</f>
        <v>1.15</v>
      </c>
      <c r="K33" s="31">
        <v>1</v>
      </c>
      <c r="L33" s="2" t="inlineStr">
        <is>
          <t>☐</t>
        </is>
      </c>
      <c r="M33" s="2" t="inlineStr">
        <is>
          <t>☐</t>
        </is>
      </c>
      <c r="N33" s="33">
        <f>=IF(M33,(0.075+D33*2.5%)*J33*(IF(L33,0,1)),(ROUNDDOWN(E33*J33,2)+(C33+D33)*(IF(L33,0,1))*ROUNDDOWN(J33*K33*2.5,2)*F33)/100)</f>
        <v>0.861</v>
      </c>
      <c r="O33" s="34">
        <f>=N33*40</f>
        <v>34.44</v>
      </c>
      <c r="P33" s="12" t="s"/>
      <c r="R33" t="s">
        <v>30</v>
      </c>
    </row>
    <row r="34" spans="1:16">
      <c r="A34" s="12" t="s"/>
      <c r="B34" s="23" t="s">
        <v>31</v>
      </c>
      <c r="C34" s="23">
        <v>9</v>
      </c>
      <c r="D34" s="24">
        <v>0</v>
      </c>
      <c r="E34" s="47">
        <v>0</v>
      </c>
      <c r="F34" s="26">
        <v>1</v>
      </c>
      <c r="G34" s="48">
        <v>15</v>
      </c>
      <c r="H34" s="2" t="inlineStr">
        <is>
          <t>☐</t>
        </is>
      </c>
      <c r="I34" s="30">
        <v>0</v>
      </c>
      <c r="J34" s="77">
        <f>=IF(C34&gt;9,G34,IF(C34=0,0,(IF(G34=0,0,((C34-1)/9*(G34-5)+5)))))/100*IF(M34,0,1)+1+IF(H34,0.2,0)+I34</f>
        <v>1.13888888888889</v>
      </c>
      <c r="K34" s="31">
        <v>1</v>
      </c>
      <c r="L34" s="2" t="inlineStr">
        <is>
          <t>☐</t>
        </is>
      </c>
      <c r="M34" s="2" t="inlineStr">
        <is>
          <t>☐</t>
        </is>
      </c>
      <c r="N34" s="33">
        <f>=IF(M34,(0.075+D34*2.5%)*J34*(IF(L34,0,1)),(ROUNDDOWN(E34*J34,2)+(C34+D34)*(IF(L34,0,1))*ROUNDDOWN(J34*K34*2.5,2)*F34)/100)</f>
        <v>0.2556</v>
      </c>
      <c r="O34" s="34">
        <f>=N34*40</f>
        <v>10.224</v>
      </c>
      <c r="P34" s="12" t="s"/>
    </row>
    <row r="35" spans="1:16">
      <c r="A35" s="12" t="s"/>
      <c r="B35" s="23" t="s">
        <v>32</v>
      </c>
      <c r="C35" s="23">
        <v>8</v>
      </c>
      <c r="D35" s="24">
        <v>0</v>
      </c>
      <c r="E35" s="47">
        <v>0</v>
      </c>
      <c r="F35" s="26">
        <v>1</v>
      </c>
      <c r="G35" s="48">
        <v>15</v>
      </c>
      <c r="H35" s="2" t="inlineStr">
        <is>
          <t>☐</t>
        </is>
      </c>
      <c r="I35" s="30">
        <v>0</v>
      </c>
      <c r="J35" s="79">
        <f>=IF(C35&gt;9,G35,IF(C35=0,0,(IF(G35=0,0,((C35-1)/9*(G35-5)+5)))))/100*IF(M35,0,1)+1+IF(H35,0.2,0)+I35</f>
        <v>1.12777777777778</v>
      </c>
      <c r="K35" s="31">
        <v>1</v>
      </c>
      <c r="L35" s="2" t="inlineStr">
        <is>
          <t>☐</t>
        </is>
      </c>
      <c r="M35" s="2" t="inlineStr">
        <is>
          <t>☐</t>
        </is>
      </c>
      <c r="N35" s="33">
        <f>=IF(M35,(0.075+D35*2.5%)*J35*(IF(L35,0,1)),(ROUNDDOWN(E35*J35,2)+(C35+D35)*(IF(L35,0,1))*ROUNDDOWN(J35*K35*2.5,2)*F35)/100)</f>
        <v>0.2248</v>
      </c>
      <c r="O35" s="34">
        <f>=N35*40</f>
        <v>8.992</v>
      </c>
      <c r="P35" s="12" t="s"/>
    </row>
    <row r="36" spans="1:16">
      <c r="A36" s="12" t="s"/>
      <c r="B36" s="23" t="s">
        <v>33</v>
      </c>
      <c r="C36" s="23">
        <v>6</v>
      </c>
      <c r="D36" s="24">
        <v>0</v>
      </c>
      <c r="E36" s="47">
        <v>0</v>
      </c>
      <c r="F36" s="26">
        <v>1</v>
      </c>
      <c r="G36" s="48">
        <v>15</v>
      </c>
      <c r="H36" s="2" t="inlineStr">
        <is>
          <t>☐</t>
        </is>
      </c>
      <c r="I36" s="30">
        <v>0</v>
      </c>
      <c r="J36" s="30">
        <f>=IF(C36&gt;9,G36,IF(C36=0,0,(IF(G36=0,0,((C36-1)/9*(G36-5)+5)))))/100*IF(M36,0,1)+1+IF(H36,0.2,0)+I36</f>
        <v>1.10555555555556</v>
      </c>
      <c r="K36" s="31">
        <v>1</v>
      </c>
      <c r="L36" s="2" t="inlineStr">
        <is>
          <t>☐</t>
        </is>
      </c>
      <c r="M36" s="2" t="inlineStr">
        <is>
          <t>☐</t>
        </is>
      </c>
      <c r="N36" s="33">
        <f>=IF(M36,(0.075+D36*2.5%)*J36*(IF(L36,0,1)),(ROUNDDOWN(E36*J36,2)+(C36+D36)*(IF(L36,0,1))*ROUNDDOWN(J36*K36*2.5,2)*F36)/100)</f>
        <v>0.1656</v>
      </c>
      <c r="O36" s="34">
        <f>=N36*40</f>
        <v>6.624</v>
      </c>
      <c r="P36" s="12" t="s"/>
    </row>
    <row r="37" spans="1:16">
      <c r="A37" s="12" t="s"/>
      <c r="B37" s="23" t="s">
        <v>34</v>
      </c>
      <c r="C37" s="23">
        <v>5</v>
      </c>
      <c r="D37" s="24">
        <v>0</v>
      </c>
      <c r="E37" s="47">
        <v>0</v>
      </c>
      <c r="F37" s="26">
        <v>2</v>
      </c>
      <c r="G37" s="48">
        <v>0</v>
      </c>
      <c r="H37" s="2" t="inlineStr">
        <is>
          <t>☐</t>
        </is>
      </c>
      <c r="I37" s="30">
        <v>0</v>
      </c>
      <c r="J37" s="79">
        <f>=IF(C37&gt;9,G37,IF(C37=0,0,(IF(G37=0,0,((C37-1)/9*(G37-5)+5)))))/100*IF(M37,0,1)+1+IF(H37,0.2,0)+I37</f>
        <v>1</v>
      </c>
      <c r="K37" s="31">
        <v>1</v>
      </c>
      <c r="L37" s="2" t="inlineStr">
        <is>
          <t>☐</t>
        </is>
      </c>
      <c r="M37" s="2" t="inlineStr">
        <is>
          <t>☐</t>
        </is>
      </c>
      <c r="N37" s="33">
        <f>=IF(M37,(0.075+D37*2.5%)*J37*(IF(L37,0,1)),(ROUNDDOWN(E37*J37,2)+(C37+D37)*(IF(L37,0,1))*ROUNDDOWN(J37*K37*2.5,2)*F37)/100)</f>
        <v>0.25</v>
      </c>
      <c r="O37" s="34">
        <f>=N37*40</f>
        <v>10</v>
      </c>
      <c r="P37" s="12" t="s"/>
    </row>
    <row r="38" spans="1:16">
      <c r="A38" s="12" t="s"/>
      <c r="B38" s="23" t="s">
        <v>35</v>
      </c>
      <c r="C38" s="23">
        <v>4</v>
      </c>
      <c r="D38" s="24">
        <v>6</v>
      </c>
      <c r="E38" s="47">
        <v>0</v>
      </c>
      <c r="F38" s="26">
        <v>1</v>
      </c>
      <c r="G38" s="48">
        <v>15</v>
      </c>
      <c r="H38" s="2" t="inlineStr">
        <is>
          <t>☐</t>
        </is>
      </c>
      <c r="I38" s="30">
        <v>0</v>
      </c>
      <c r="J38" s="79">
        <f>=IF(C38&gt;9,G38,IF(C38=0,0,(IF(G38=0,0,((C38-1)/9*(G38-5)+5)))))/100*IF(M38,0,1)+1+IF(H38,0.2,0)+I38</f>
        <v>1.08333333333333</v>
      </c>
      <c r="K38" s="31">
        <v>1</v>
      </c>
      <c r="L38" s="2" t="inlineStr">
        <is>
          <t>☐</t>
        </is>
      </c>
      <c r="M38" s="2" t="inlineStr">
        <is>
          <t>☐</t>
        </is>
      </c>
      <c r="N38" s="33">
        <f>=IF(M38,(0.075+D38*2.5%)*J38*(IF(L38,0,1)),(ROUNDDOWN(E38*J38,2)+(C38+D38)*(IF(L38,0,1))*ROUNDDOWN(J38*K38*2.5,2)*F38)/100)</f>
        <v>0.27</v>
      </c>
      <c r="O38" s="34">
        <f>=N38*40</f>
        <v>10.8</v>
      </c>
      <c r="P38" s="12" t="s"/>
    </row>
    <row r="39" spans="1:16">
      <c r="A39" s="12" t="s"/>
      <c r="B39" s="23" t="s">
        <v>36</v>
      </c>
      <c r="C39" s="23">
        <v>3</v>
      </c>
      <c r="D39" s="24">
        <v>0</v>
      </c>
      <c r="E39" s="47">
        <v>0</v>
      </c>
      <c r="F39" s="26">
        <v>3</v>
      </c>
      <c r="G39" s="48">
        <v>15</v>
      </c>
      <c r="H39" s="2" t="inlineStr">
        <is>
          <t>☐</t>
        </is>
      </c>
      <c r="I39" s="30">
        <v>0</v>
      </c>
      <c r="J39" s="79">
        <f>=IF(C39&gt;9,G39,IF(C39=0,0,(IF(G39=0,0,((C39-1)/9*(G39-5)+5)))))/100*IF(M39,0,1)+1+IF(H39,0.2,0)+I39</f>
        <v>1.07222222222222</v>
      </c>
      <c r="K39" s="31">
        <v>1</v>
      </c>
      <c r="L39" s="2" t="inlineStr">
        <is>
          <t>☐</t>
        </is>
      </c>
      <c r="M39" s="2" t="inlineStr">
        <is>
          <t>☐</t>
        </is>
      </c>
      <c r="N39" s="33">
        <f>=IF(M39,(0.075+D39*2.5%)*J39*(IF(L39,0,1)),(ROUNDDOWN(E39*J39,2)+(C39+D39)*(IF(L39,0,1))*ROUNDDOWN(J39*K39*2.5,2)*F39)/100)</f>
        <v>0.2412</v>
      </c>
      <c r="O39" s="34">
        <f>=N39*40</f>
        <v>9.648</v>
      </c>
      <c r="P39" s="12" t="s"/>
    </row>
    <row r="40" spans="1:16">
      <c r="A40" s="12" t="s"/>
      <c r="B40" s="23" t="s">
        <v>37</v>
      </c>
      <c r="C40" s="23">
        <v>2</v>
      </c>
      <c r="D40" s="24">
        <v>0</v>
      </c>
      <c r="E40" s="47">
        <v>0</v>
      </c>
      <c r="F40" s="26">
        <v>1</v>
      </c>
      <c r="G40" s="48">
        <v>15</v>
      </c>
      <c r="H40" s="2" t="inlineStr">
        <is>
          <t>☐</t>
        </is>
      </c>
      <c r="I40" s="30">
        <v>0</v>
      </c>
      <c r="J40" s="79">
        <f>=IF(C40&gt;9,G40,IF(C40=0,0,(IF(G40=0,0,((C40-1)/9*(G40-5)+5)))))/100*IF(M40,0,1)+1+IF(H40,0.2,0)+I40</f>
        <v>1.06111111111111</v>
      </c>
      <c r="K40" s="31">
        <v>1</v>
      </c>
      <c r="L40" s="2" t="inlineStr">
        <is>
          <t>☐</t>
        </is>
      </c>
      <c r="M40" s="2" t="inlineStr">
        <is>
          <t>☐</t>
        </is>
      </c>
      <c r="N40" s="33">
        <f>=IF(M40,(0.075+D40*2.5%)*J40*(IF(L40,0,1)),(ROUNDDOWN(E40*J40,2)+(C40+D40)*(IF(L40,0,1))*ROUNDDOWN(J40*K40*2.5,2)*F40)/100)</f>
        <v>0.053</v>
      </c>
      <c r="O40" s="34">
        <f>=N40*40</f>
        <v>2.12</v>
      </c>
      <c r="P40" s="12" t="s"/>
    </row>
    <row r="41" spans="1:16">
      <c r="A41" s="12" t="s"/>
      <c r="B41" s="23" t="s">
        <v>38</v>
      </c>
      <c r="C41" s="23">
        <v>1</v>
      </c>
      <c r="D41" s="24">
        <v>0</v>
      </c>
      <c r="E41" s="47">
        <v>0</v>
      </c>
      <c r="F41" s="26">
        <v>1</v>
      </c>
      <c r="G41" s="48">
        <v>15</v>
      </c>
      <c r="H41" s="2" t="inlineStr">
        <is>
          <t>☐</t>
        </is>
      </c>
      <c r="I41" s="30">
        <v>0</v>
      </c>
      <c r="J41" s="79">
        <f>=IF(C41&gt;9,G41,IF(C41=0,0,(IF(G41=0,0,((C41-1)/9*(G41-5)+5)))))/100*IF(M41,0,1)+1+IF(H41,0.2,0)+I41</f>
        <v>1.05</v>
      </c>
      <c r="K41" s="31">
        <v>1</v>
      </c>
      <c r="L41" s="2" t="inlineStr">
        <is>
          <t>☐</t>
        </is>
      </c>
      <c r="M41" s="2" t="inlineStr">
        <is>
          <t>☐</t>
        </is>
      </c>
      <c r="N41" s="33">
        <f>=IF(M41,(0.075+D41*2.5%)*J41*(IF(L41,0,1)),(ROUNDDOWN(E41*J41,2)+(C41+D41)*(IF(L41,0,1))*ROUNDDOWN(J41*K41*2.5,2)*F41)/100)</f>
        <v>0.0262</v>
      </c>
      <c r="O41" s="34">
        <f>=N41*40</f>
        <v>1.048</v>
      </c>
      <c r="P41" s="12" t="s"/>
    </row>
    <row r="42" spans="1:16">
      <c r="A42" s="12" t="s"/>
      <c r="B42" s="80" t="s">
        <v>13</v>
      </c>
      <c r="C42" s="23">
        <v>1</v>
      </c>
      <c r="D42" s="81">
        <v>0</v>
      </c>
      <c r="E42" s="47">
        <v>0</v>
      </c>
      <c r="F42" s="82">
        <v>1</v>
      </c>
      <c r="G42" s="48">
        <v>15</v>
      </c>
      <c r="H42" s="2" t="inlineStr">
        <is>
          <t>☐</t>
        </is>
      </c>
      <c r="I42" s="30">
        <v>0</v>
      </c>
      <c r="J42" s="84">
        <f>=IF(C42&gt;9,G42,IF(C42=0,0,(IF(G42=0,0,((C42-1)/9*(G42-5)+5)))))/100*IF(M42,0,1)+1+IF(H42,0.2,0)+I42</f>
        <v>1</v>
      </c>
      <c r="K42" s="31">
        <v>1</v>
      </c>
      <c r="L42" s="2" t="inlineStr">
        <is>
          <t>☐</t>
        </is>
      </c>
      <c r="M42" s="2" t="inlineStr">
        <is>
          <t>☑</t>
        </is>
      </c>
      <c r="N42" s="30">
        <f>=IF(M42,(0.075+D42*2.5%)*J42*(IF(L42,0,1)),(ROUNDDOWN(E42*J42,2)+(C42+D42)*(IF(L42,0,1))*ROUNDDOWN(J42*K42*2.5,2)*F42)/100)</f>
        <v>0.075</v>
      </c>
      <c r="O42" s="86">
        <f>=N42*40</f>
        <v>3</v>
      </c>
      <c r="P42" s="12" t="s"/>
    </row>
    <row r="43" spans="1:16" ht="7.5" customHeight="1">
      <c r="A43" s="12" t="s"/>
      <c r="B43" s="12" t="s"/>
      <c r="C43" s="12" t="s"/>
      <c r="D43" s="12" t="s"/>
      <c r="E43" s="12" t="s"/>
      <c r="F43" s="12" t="s"/>
      <c r="G43" s="12" t="s"/>
      <c r="H43" s="12" t="s"/>
      <c r="I43" s="12" t="s"/>
      <c r="J43" s="12" t="s"/>
      <c r="K43" s="12" t="s"/>
      <c r="L43" s="12" t="s"/>
      <c r="M43" s="12" t="s"/>
      <c r="N43" s="12" t="s"/>
      <c r="O43" s="12" t="s"/>
      <c r="P43" s="12" t="s"/>
    </row>
    <row r="45" spans="3:3">
      <c r="C45" s="87" t="s"/>
    </row>
    <row r="46" spans="3:3">
      <c r="C46" s="34" t="s"/>
    </row>
  </sheetData>
  <mergeCells count="2">
    <mergeCell ref="B2:I2"/>
    <mergeCell ref="B5:I5"/>
  </mergeCells>
  <dataValidations>
    <dataValidation type="list" errorStyle="stop" showInputMessage="1" showErrorMessage="1" prompt="" sqref="F9:F18">
      <formula1>"1,2,3,"</formula1>
      <formula2/>
    </dataValidation>
    <dataValidation type="list" errorStyle="stop" showInputMessage="1" showErrorMessage="1" prompt="" sqref="F23:F42">
      <formula1>"1,2,3,"</formula1>
      <formula2/>
    </dataValidation>
    <dataValidation type="list" errorStyle="stop" allowBlank="1" showDropDown="0" showInputMessage="1" showErrorMessage="1" prompt="" sqref="G9:G18">
      <formula1>"10,12,15,0,"</formula1>
    </dataValidation>
    <dataValidation type="list" errorStyle="stop" allowBlank="1" showDropDown="0" showInputMessage="1" showErrorMessage="1" prompt="" sqref="G23:G42">
      <formula1>"10,12,15,0,"</formula1>
    </dataValidation>
  </dataValidations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2026-06-13T20:37:12Z</dcterms:created>
  <dcterms:modified xsi:type="dcterms:W3CDTF">2026-06-13T20:37:12Z</dcterms:modified>
</cp:coreProperties>
</file>