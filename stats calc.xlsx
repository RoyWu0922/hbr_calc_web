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ixu\Downloads\download\V4 总\HBR 3.5新版本研究\"/>
    </mc:Choice>
  </mc:AlternateContent>
  <xr:revisionPtr revIDLastSave="0" documentId="13_ncr:1_{B121919F-4B6B-4467-AC30-63272ED0DB16}" xr6:coauthVersionLast="47" xr6:coauthVersionMax="47" xr10:uidLastSave="{00000000-0000-0000-0000-000000000000}"/>
  <bookViews>
    <workbookView xWindow="-98" yWindow="-98" windowWidth="19396" windowHeight="11475" xr2:uid="{46F61BBF-BA74-43D4-9776-ABDBD4568B4D}"/>
  </bookViews>
  <sheets>
    <sheet name="白值计算" sheetId="9" r:id="rId1"/>
    <sheet name="SS偏向统计" sheetId="8" r:id="rId2"/>
    <sheet name="AS通用白值" sheetId="3" r:id="rId3"/>
    <sheet name="SS通用白值" sheetId="12" r:id="rId4"/>
    <sheet name="全角色白值成长" sheetId="10" r:id="rId5"/>
    <sheet name="预置配装" sheetId="13" r:id="rId6"/>
    <sheet name="SS战型统计 废弃" sheetId="4" r:id="rId7"/>
    <sheet name="SS战型分类" sheetId="6" r:id="rId8"/>
    <sheet name="Sheet2" sheetId="1" r:id="rId9"/>
  </sheets>
  <definedNames>
    <definedName name="pre">预置配装!$A$5:$A$15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9" l="1" a="1"/>
  <c r="I12" i="9" s="1"/>
  <c r="H12" i="9" a="1"/>
  <c r="H12" i="9" s="1"/>
  <c r="G12" i="9" a="1"/>
  <c r="G12" i="9" s="1"/>
  <c r="F12" i="9" a="1"/>
  <c r="F12" i="9" s="1"/>
  <c r="J71" i="12"/>
  <c r="I71" i="12"/>
  <c r="H71" i="12"/>
  <c r="G71" i="12"/>
  <c r="F71" i="12"/>
  <c r="E71" i="12"/>
  <c r="J70" i="12"/>
  <c r="I70" i="12"/>
  <c r="H70" i="12"/>
  <c r="G70" i="12"/>
  <c r="F70" i="12"/>
  <c r="E70" i="12"/>
  <c r="J69" i="12"/>
  <c r="I69" i="12"/>
  <c r="H69" i="12"/>
  <c r="G69" i="12"/>
  <c r="F69" i="12"/>
  <c r="E69" i="12"/>
  <c r="E12" i="9" a="1"/>
  <c r="E12" i="9" s="1"/>
  <c r="D12" i="9" a="1"/>
  <c r="D12" i="9" s="1"/>
  <c r="I10" i="9" a="1"/>
  <c r="I10" i="9" s="1"/>
  <c r="H10" i="9" a="1"/>
  <c r="H10" i="9" s="1"/>
  <c r="G10" i="9" a="1"/>
  <c r="G10" i="9" s="1"/>
  <c r="F10" i="9" a="1"/>
  <c r="F10" i="9" s="1"/>
  <c r="E10" i="9" a="1"/>
  <c r="E10" i="9" s="1"/>
  <c r="D10" i="9" a="1"/>
  <c r="D10" i="9" s="1"/>
  <c r="O8" i="9" a="1"/>
  <c r="O8" i="9" s="1"/>
  <c r="N8" i="9" a="1"/>
  <c r="N8" i="9" s="1"/>
  <c r="M8" i="9" a="1"/>
  <c r="M8" i="9" s="1"/>
  <c r="L8" i="9" a="1"/>
  <c r="L8" i="9" s="1"/>
  <c r="K8" i="9" a="1"/>
  <c r="K8" i="9" s="1"/>
  <c r="J8" i="9" a="1"/>
  <c r="J8" i="9" s="1"/>
  <c r="I8" i="9" a="1"/>
  <c r="I8" i="9" s="1"/>
  <c r="H8" i="9" a="1"/>
  <c r="H8" i="9" s="1"/>
  <c r="G8" i="9" a="1"/>
  <c r="G8" i="9" s="1"/>
  <c r="F8" i="9" a="1"/>
  <c r="F8" i="9" s="1"/>
  <c r="E8" i="9" a="1"/>
  <c r="E8" i="9" s="1"/>
  <c r="D8" i="9" a="1"/>
  <c r="D8" i="9" s="1"/>
  <c r="L5" i="13"/>
  <c r="D32" i="9" a="1"/>
  <c r="D32" i="9" s="1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F3" i="12"/>
  <c r="F2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E2" i="12"/>
  <c r="I32" i="9" a="1"/>
  <c r="I32" i="9" s="1"/>
  <c r="H32" i="9" a="1"/>
  <c r="H32" i="9" s="1"/>
  <c r="G32" i="9" a="1"/>
  <c r="G32" i="9" s="1"/>
  <c r="F32" i="9" a="1"/>
  <c r="F32" i="9" s="1"/>
  <c r="E32" i="9" a="1"/>
  <c r="E32" i="9" s="1"/>
  <c r="I30" i="13"/>
  <c r="H30" i="13"/>
  <c r="G30" i="13"/>
  <c r="F30" i="13"/>
  <c r="E30" i="13"/>
  <c r="D30" i="13"/>
  <c r="I29" i="13"/>
  <c r="H29" i="13"/>
  <c r="G29" i="13"/>
  <c r="F29" i="13"/>
  <c r="E29" i="13"/>
  <c r="D29" i="13"/>
  <c r="I28" i="13"/>
  <c r="H28" i="13"/>
  <c r="G28" i="13"/>
  <c r="F28" i="13"/>
  <c r="E28" i="13"/>
  <c r="D28" i="13"/>
  <c r="I27" i="13"/>
  <c r="H27" i="13"/>
  <c r="G27" i="13"/>
  <c r="F27" i="13"/>
  <c r="E27" i="13"/>
  <c r="D27" i="13"/>
  <c r="I26" i="13"/>
  <c r="H26" i="13"/>
  <c r="G26" i="13"/>
  <c r="F26" i="13"/>
  <c r="E26" i="13"/>
  <c r="D26" i="13"/>
  <c r="I25" i="13"/>
  <c r="H25" i="13"/>
  <c r="G25" i="13"/>
  <c r="F25" i="13"/>
  <c r="I24" i="13"/>
  <c r="H24" i="13"/>
  <c r="G24" i="13"/>
  <c r="F24" i="13"/>
  <c r="E24" i="13"/>
  <c r="D24" i="13"/>
  <c r="I23" i="13"/>
  <c r="H23" i="13"/>
  <c r="G23" i="13"/>
  <c r="F23" i="13"/>
  <c r="E23" i="13"/>
  <c r="D23" i="13"/>
  <c r="I22" i="13"/>
  <c r="H22" i="13"/>
  <c r="G22" i="13"/>
  <c r="F22" i="13"/>
  <c r="E22" i="13"/>
  <c r="D22" i="13"/>
  <c r="I21" i="13"/>
  <c r="H21" i="13"/>
  <c r="G21" i="13"/>
  <c r="F21" i="13"/>
  <c r="E21" i="13"/>
  <c r="D21" i="13"/>
  <c r="E25" i="13"/>
  <c r="D25" i="13"/>
  <c r="J68" i="12"/>
  <c r="I68" i="12"/>
  <c r="H68" i="12"/>
  <c r="G68" i="12"/>
  <c r="J67" i="12"/>
  <c r="I67" i="12"/>
  <c r="H67" i="12"/>
  <c r="G67" i="12"/>
  <c r="J66" i="12"/>
  <c r="I66" i="12"/>
  <c r="H66" i="12"/>
  <c r="G66" i="12"/>
  <c r="J65" i="12"/>
  <c r="I65" i="12"/>
  <c r="H65" i="12"/>
  <c r="G65" i="12"/>
  <c r="J64" i="12"/>
  <c r="I64" i="12"/>
  <c r="H64" i="12"/>
  <c r="G64" i="12"/>
  <c r="J63" i="12"/>
  <c r="I63" i="12"/>
  <c r="H63" i="12"/>
  <c r="G63" i="12"/>
  <c r="J62" i="12"/>
  <c r="I62" i="12"/>
  <c r="H62" i="12"/>
  <c r="G62" i="12"/>
  <c r="J61" i="12"/>
  <c r="I61" i="12"/>
  <c r="H61" i="12"/>
  <c r="G61" i="12"/>
  <c r="J60" i="12"/>
  <c r="I60" i="12"/>
  <c r="H60" i="12"/>
  <c r="G60" i="12"/>
  <c r="J59" i="12"/>
  <c r="I59" i="12"/>
  <c r="H59" i="12"/>
  <c r="G59" i="12"/>
  <c r="J58" i="12"/>
  <c r="I58" i="12"/>
  <c r="H58" i="12"/>
  <c r="G58" i="12"/>
  <c r="J57" i="12"/>
  <c r="I57" i="12"/>
  <c r="H57" i="12"/>
  <c r="G57" i="12"/>
  <c r="J56" i="12"/>
  <c r="I56" i="12"/>
  <c r="H56" i="12"/>
  <c r="G56" i="12"/>
  <c r="J55" i="12"/>
  <c r="I55" i="12"/>
  <c r="H55" i="12"/>
  <c r="G55" i="12"/>
  <c r="J54" i="12"/>
  <c r="I54" i="12"/>
  <c r="H54" i="12"/>
  <c r="G54" i="12"/>
  <c r="J53" i="12"/>
  <c r="I53" i="12"/>
  <c r="H53" i="12"/>
  <c r="G53" i="12"/>
  <c r="J52" i="12"/>
  <c r="I52" i="12"/>
  <c r="H52" i="12"/>
  <c r="G52" i="12"/>
  <c r="J51" i="12"/>
  <c r="I51" i="12"/>
  <c r="H51" i="12"/>
  <c r="G51" i="12"/>
  <c r="J50" i="12"/>
  <c r="I50" i="12"/>
  <c r="H50" i="12"/>
  <c r="G50" i="12"/>
  <c r="J49" i="12"/>
  <c r="I49" i="12"/>
  <c r="H49" i="12"/>
  <c r="G49" i="12"/>
  <c r="J48" i="12"/>
  <c r="I48" i="12"/>
  <c r="H48" i="12"/>
  <c r="G48" i="12"/>
  <c r="J47" i="12"/>
  <c r="I47" i="12"/>
  <c r="H47" i="12"/>
  <c r="G47" i="12"/>
  <c r="J46" i="12"/>
  <c r="I46" i="12"/>
  <c r="H46" i="12"/>
  <c r="G46" i="12"/>
  <c r="J45" i="12"/>
  <c r="I45" i="12"/>
  <c r="H45" i="12"/>
  <c r="G45" i="12"/>
  <c r="J44" i="12"/>
  <c r="I44" i="12"/>
  <c r="H44" i="12"/>
  <c r="G44" i="12"/>
  <c r="J43" i="12"/>
  <c r="I43" i="12"/>
  <c r="H43" i="12"/>
  <c r="G43" i="12"/>
  <c r="J42" i="12"/>
  <c r="I42" i="12"/>
  <c r="H42" i="12"/>
  <c r="G42" i="12"/>
  <c r="J41" i="12"/>
  <c r="I41" i="12"/>
  <c r="H41" i="12"/>
  <c r="G41" i="12"/>
  <c r="J40" i="12"/>
  <c r="I40" i="12"/>
  <c r="H40" i="12"/>
  <c r="G40" i="12"/>
  <c r="J39" i="12"/>
  <c r="I39" i="12"/>
  <c r="H39" i="12"/>
  <c r="G39" i="12"/>
  <c r="J38" i="12"/>
  <c r="I38" i="12"/>
  <c r="H38" i="12"/>
  <c r="G38" i="12"/>
  <c r="J37" i="12"/>
  <c r="I37" i="12"/>
  <c r="H37" i="12"/>
  <c r="G37" i="12"/>
  <c r="J36" i="12"/>
  <c r="I36" i="12"/>
  <c r="H36" i="12"/>
  <c r="G36" i="12"/>
  <c r="J35" i="12"/>
  <c r="I35" i="12"/>
  <c r="H35" i="12"/>
  <c r="G35" i="12"/>
  <c r="J34" i="12"/>
  <c r="I34" i="12"/>
  <c r="H34" i="12"/>
  <c r="G34" i="12"/>
  <c r="J33" i="12"/>
  <c r="I33" i="12"/>
  <c r="H33" i="12"/>
  <c r="G33" i="12"/>
  <c r="J32" i="12"/>
  <c r="I32" i="12"/>
  <c r="H32" i="12"/>
  <c r="G32" i="12"/>
  <c r="J31" i="12"/>
  <c r="I31" i="12"/>
  <c r="H31" i="12"/>
  <c r="G31" i="12"/>
  <c r="J30" i="12"/>
  <c r="I30" i="12"/>
  <c r="H30" i="12"/>
  <c r="G30" i="12"/>
  <c r="J29" i="12"/>
  <c r="I29" i="12"/>
  <c r="H29" i="12"/>
  <c r="G29" i="12"/>
  <c r="J28" i="12"/>
  <c r="I28" i="12"/>
  <c r="H28" i="12"/>
  <c r="G28" i="12"/>
  <c r="J27" i="12"/>
  <c r="I27" i="12"/>
  <c r="H27" i="12"/>
  <c r="G27" i="12"/>
  <c r="J26" i="12"/>
  <c r="I26" i="12"/>
  <c r="H26" i="12"/>
  <c r="G26" i="12"/>
  <c r="J25" i="12"/>
  <c r="I25" i="12"/>
  <c r="H25" i="12"/>
  <c r="G25" i="12"/>
  <c r="J24" i="12"/>
  <c r="I24" i="12"/>
  <c r="H24" i="12"/>
  <c r="G24" i="12"/>
  <c r="J23" i="12"/>
  <c r="I23" i="12"/>
  <c r="H23" i="12"/>
  <c r="G23" i="12"/>
  <c r="J22" i="12"/>
  <c r="I22" i="12"/>
  <c r="H22" i="12"/>
  <c r="G22" i="12"/>
  <c r="J21" i="12"/>
  <c r="I21" i="12"/>
  <c r="H21" i="12"/>
  <c r="G21" i="12"/>
  <c r="J20" i="12"/>
  <c r="I20" i="12"/>
  <c r="H20" i="12"/>
  <c r="G20" i="12"/>
  <c r="J19" i="12"/>
  <c r="I19" i="12"/>
  <c r="H19" i="12"/>
  <c r="G19" i="12"/>
  <c r="J18" i="12"/>
  <c r="I18" i="12"/>
  <c r="H18" i="12"/>
  <c r="G18" i="12"/>
  <c r="J17" i="12"/>
  <c r="I17" i="12"/>
  <c r="H17" i="12"/>
  <c r="G17" i="12"/>
  <c r="J16" i="12"/>
  <c r="I16" i="12"/>
  <c r="H16" i="12"/>
  <c r="G16" i="12"/>
  <c r="J15" i="12"/>
  <c r="I15" i="12"/>
  <c r="H15" i="12"/>
  <c r="G15" i="12"/>
  <c r="J14" i="12"/>
  <c r="I14" i="12"/>
  <c r="H14" i="12"/>
  <c r="G14" i="12"/>
  <c r="J13" i="12"/>
  <c r="I13" i="12"/>
  <c r="H13" i="12"/>
  <c r="G13" i="12"/>
  <c r="J12" i="12"/>
  <c r="I12" i="12"/>
  <c r="H12" i="12"/>
  <c r="G12" i="12"/>
  <c r="J11" i="12"/>
  <c r="I11" i="12"/>
  <c r="H11" i="12"/>
  <c r="G11" i="12"/>
  <c r="J10" i="12"/>
  <c r="I10" i="12"/>
  <c r="H10" i="12"/>
  <c r="G10" i="12"/>
  <c r="J9" i="12"/>
  <c r="I9" i="12"/>
  <c r="H9" i="12"/>
  <c r="G9" i="12"/>
  <c r="J8" i="12"/>
  <c r="I8" i="12"/>
  <c r="H8" i="12"/>
  <c r="G8" i="12"/>
  <c r="J7" i="12"/>
  <c r="I7" i="12"/>
  <c r="H7" i="12"/>
  <c r="G7" i="12"/>
  <c r="J6" i="12"/>
  <c r="I6" i="12"/>
  <c r="H6" i="12"/>
  <c r="G6" i="12"/>
  <c r="J5" i="12"/>
  <c r="I5" i="12"/>
  <c r="H5" i="12"/>
  <c r="G5" i="12"/>
  <c r="J4" i="12"/>
  <c r="I4" i="12"/>
  <c r="H4" i="12"/>
  <c r="G4" i="12"/>
  <c r="J3" i="12"/>
  <c r="I3" i="12"/>
  <c r="H3" i="12"/>
  <c r="G3" i="12"/>
  <c r="J2" i="12"/>
  <c r="I2" i="12"/>
  <c r="H2" i="12"/>
  <c r="G2" i="12"/>
  <c r="D23" i="9" l="1" a="1"/>
  <c r="D23" i="9" s="1"/>
  <c r="D40" i="9" s="1" a="1"/>
  <c r="D40" i="9" s="1"/>
  <c r="E23" i="9" a="1"/>
  <c r="E23" i="9" s="1"/>
  <c r="E40" i="9" s="1" a="1"/>
  <c r="E40" i="9" s="1"/>
  <c r="F23" i="9" a="1"/>
  <c r="F23" i="9" s="1"/>
  <c r="F40" i="9" s="1" a="1"/>
  <c r="F40" i="9" s="1"/>
  <c r="I23" i="9" a="1"/>
  <c r="I23" i="9" s="1"/>
  <c r="I40" i="9" s="1" a="1"/>
  <c r="I40" i="9" s="1"/>
  <c r="H23" i="9" a="1"/>
  <c r="H23" i="9" s="1"/>
  <c r="H40" i="9" s="1" a="1"/>
  <c r="H40" i="9" s="1"/>
  <c r="G23" i="9" a="1"/>
  <c r="G23" i="9" s="1"/>
  <c r="G40" i="9" s="1" a="1"/>
  <c r="G40" i="9" s="1"/>
  <c r="F45" i="9" l="1"/>
  <c r="F43" i="9"/>
  <c r="D45" i="9"/>
  <c r="H43" i="9"/>
  <c r="D43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<sst xmlns="http://schemas.openxmlformats.org/spreadsheetml/2006/main" count="961" uniqueCount="326">
  <si>
    <t>ID</t>
    <phoneticPr fontId="2" type="noConversion"/>
  </si>
  <si>
    <t>Label</t>
    <phoneticPr fontId="2" type="noConversion"/>
  </si>
  <si>
    <t>BaseParameter.Character.RKayamori</t>
  </si>
  <si>
    <t>BaseParameter.Character.YIzumi</t>
  </si>
  <si>
    <t>BaseParameter.Character.TTojo</t>
  </si>
  <si>
    <t>BaseParameter.Character.KAsakura</t>
  </si>
  <si>
    <t>BaseParameter.Character.Karen</t>
  </si>
  <si>
    <t>BaseParameter.Character.TKunimi</t>
  </si>
  <si>
    <t>BaseParameter.Character.MAikawa</t>
  </si>
  <si>
    <t>BaseParameter.Character.EAoi</t>
  </si>
  <si>
    <t>BaseParameter.Character.IMinase</t>
  </si>
  <si>
    <t>BaseParameter.Character.SMinase</t>
  </si>
  <si>
    <t>BaseParameter.Character.SHiguchi</t>
  </si>
  <si>
    <t>BaseParameter.Character.KHiiragi</t>
  </si>
  <si>
    <t>BaseParameter.Character.Byakko</t>
  </si>
  <si>
    <t>BaseParameter.Character.YShirakawa</t>
  </si>
  <si>
    <t>BaseParameter.Character.MTsukishiro</t>
  </si>
  <si>
    <t>BaseParameter.Character.MKiryu</t>
  </si>
  <si>
    <t>BaseParameter.Character.CSugahara</t>
  </si>
  <si>
    <t>BaseParameter.Character.HOgasawara</t>
  </si>
  <si>
    <t>BaseParameter.Character.SKura</t>
  </si>
  <si>
    <t>BaseParameter.Character.MSatsuki</t>
  </si>
  <si>
    <t>BaseParameter.Character.SSakuraba</t>
  </si>
  <si>
    <t>BaseParameter.Character.BIYamawaki</t>
  </si>
  <si>
    <t>BaseParameter.Character.AKanzaki</t>
  </si>
  <si>
    <t>BaseParameter.Character.MTenne</t>
  </si>
  <si>
    <t>BaseParameter.Character.STezuka</t>
    <phoneticPr fontId="2" type="noConversion"/>
  </si>
  <si>
    <t>BaseParameter.Character.NNanase</t>
    <phoneticPr fontId="2" type="noConversion"/>
  </si>
  <si>
    <t>BaseParameter.Character.YBungo</t>
  </si>
  <si>
    <t>BaseParameter.Character.MAsami</t>
    <phoneticPr fontId="2" type="noConversion"/>
  </si>
  <si>
    <t>BaseParameter.Character.MNikaido</t>
  </si>
  <si>
    <t>BaseParameter.Character.IIshii</t>
  </si>
  <si>
    <t>BaseParameter.Character.FMikoto</t>
  </si>
  <si>
    <t>BaseParameter.Character.RMurohushi</t>
  </si>
  <si>
    <t>BaseParameter.Character.ADate</t>
  </si>
  <si>
    <t>BaseParameter.Character.AMizuhara</t>
  </si>
  <si>
    <t>BaseParameter.Character.IcOhshima</t>
  </si>
  <si>
    <r>
      <rPr>
        <sz val="18"/>
        <color theme="1"/>
        <rFont val="宋体"/>
        <family val="3"/>
        <charset val="134"/>
      </rPr>
      <t>大島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一千子</t>
    </r>
    <phoneticPr fontId="2" type="noConversion"/>
  </si>
  <si>
    <t>BaseParameter.Character.NiOhshima</t>
  </si>
  <si>
    <r>
      <rPr>
        <sz val="18"/>
        <color theme="1"/>
        <rFont val="宋体"/>
        <family val="3"/>
        <charset val="134"/>
      </rPr>
      <t>大島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二以奈</t>
    </r>
    <phoneticPr fontId="2" type="noConversion"/>
  </si>
  <si>
    <t>BaseParameter.Character.MiOhshima</t>
  </si>
  <si>
    <r>
      <rPr>
        <sz val="18"/>
        <color theme="1"/>
        <rFont val="宋体"/>
        <family val="3"/>
        <charset val="134"/>
      </rPr>
      <t>大島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三野里</t>
    </r>
    <phoneticPr fontId="2" type="noConversion"/>
  </si>
  <si>
    <t>BaseParameter.Character.YoOhshima</t>
  </si>
  <si>
    <r>
      <rPr>
        <sz val="18"/>
        <color theme="1"/>
        <rFont val="宋体"/>
        <family val="3"/>
        <charset val="134"/>
      </rPr>
      <t>大島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四葉草</t>
    </r>
    <phoneticPr fontId="2" type="noConversion"/>
  </si>
  <si>
    <t>BaseParameter.Character.IrOhshima</t>
  </si>
  <si>
    <r>
      <rPr>
        <sz val="18"/>
        <color theme="1"/>
        <rFont val="宋体"/>
        <family val="3"/>
        <charset val="134"/>
      </rPr>
      <t>大島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五十鈴</t>
    </r>
    <phoneticPr fontId="2" type="noConversion"/>
  </si>
  <si>
    <t>BaseParameter.Character.MuOhshima</t>
  </si>
  <si>
    <r>
      <rPr>
        <sz val="18"/>
        <color theme="1"/>
        <rFont val="宋体"/>
        <family val="3"/>
        <charset val="134"/>
      </rPr>
      <t>大島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六宇亞</t>
    </r>
    <phoneticPr fontId="2" type="noConversion"/>
  </si>
  <si>
    <t>BaseParameter.Character.MYanagi</t>
  </si>
  <si>
    <r>
      <rPr>
        <sz val="18"/>
        <color theme="1"/>
        <rFont val="宋体"/>
        <family val="3"/>
        <charset val="134"/>
      </rPr>
      <t>柳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美音</t>
    </r>
    <phoneticPr fontId="2" type="noConversion"/>
  </si>
  <si>
    <t>BaseParameter.Character.KMaruyama</t>
  </si>
  <si>
    <r>
      <rPr>
        <sz val="18"/>
        <color theme="1"/>
        <rFont val="宋体"/>
        <family val="3"/>
        <charset val="134"/>
      </rPr>
      <t>丸山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奏多</t>
    </r>
    <phoneticPr fontId="2" type="noConversion"/>
  </si>
  <si>
    <t>BaseParameter.Character.SHanamura</t>
  </si>
  <si>
    <r>
      <rPr>
        <sz val="18"/>
        <color theme="1"/>
        <rFont val="宋体"/>
        <family val="3"/>
        <charset val="134"/>
      </rPr>
      <t>華村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詩紀</t>
    </r>
    <phoneticPr fontId="2" type="noConversion"/>
  </si>
  <si>
    <t>BaseParameter.Character.CMatsuoka</t>
  </si>
  <si>
    <r>
      <rPr>
        <sz val="18"/>
        <color theme="1"/>
        <rFont val="宋体"/>
        <family val="3"/>
        <charset val="134"/>
      </rPr>
      <t>松岡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綺羅路</t>
    </r>
    <phoneticPr fontId="2" type="noConversion"/>
  </si>
  <si>
    <t>BaseParameter.Character.INatsume</t>
  </si>
  <si>
    <r>
      <rPr>
        <sz val="18"/>
        <color theme="1"/>
        <rFont val="宋体"/>
        <family val="3"/>
        <charset val="134"/>
      </rPr>
      <t>夏目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祈</t>
    </r>
    <phoneticPr fontId="2" type="noConversion"/>
  </si>
  <si>
    <t>BaseParameter.Character.MKurosawa</t>
  </si>
  <si>
    <r>
      <rPr>
        <sz val="18"/>
        <color theme="1"/>
        <rFont val="宋体"/>
        <family val="3"/>
        <charset val="134"/>
      </rPr>
      <t>黑澤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真希</t>
    </r>
    <phoneticPr fontId="2" type="noConversion"/>
  </si>
  <si>
    <t>BaseParameter.Character.CReaper</t>
  </si>
  <si>
    <r>
      <rPr>
        <sz val="18"/>
        <color theme="1"/>
        <rFont val="宋体"/>
        <family val="3"/>
        <charset val="134"/>
      </rPr>
      <t>卡羅爾</t>
    </r>
    <r>
      <rPr>
        <sz val="18"/>
        <color theme="1"/>
        <rFont val="Yu Gothic"/>
        <family val="2"/>
        <charset val="128"/>
      </rPr>
      <t>・</t>
    </r>
    <r>
      <rPr>
        <sz val="18"/>
        <color theme="1"/>
        <rFont val="宋体"/>
        <family val="3"/>
        <charset val="134"/>
      </rPr>
      <t>利帕</t>
    </r>
    <phoneticPr fontId="2" type="noConversion"/>
  </si>
  <si>
    <t>BaseParameter.Character.Lshanhua</t>
    <phoneticPr fontId="2" type="noConversion"/>
  </si>
  <si>
    <r>
      <rPr>
        <sz val="18"/>
        <color theme="1"/>
        <rFont val="宋体"/>
        <family val="3"/>
        <charset val="134"/>
      </rPr>
      <t>李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映夏</t>
    </r>
    <phoneticPr fontId="2" type="noConversion"/>
  </si>
  <si>
    <t>BaseParameter.Character.IRedmayne</t>
  </si>
  <si>
    <r>
      <rPr>
        <sz val="18"/>
        <color theme="1"/>
        <rFont val="宋体"/>
        <family val="3"/>
        <charset val="134"/>
      </rPr>
      <t>艾琳</t>
    </r>
    <r>
      <rPr>
        <sz val="18"/>
        <color theme="1"/>
        <rFont val="Yu Gothic"/>
        <family val="2"/>
        <charset val="128"/>
      </rPr>
      <t>・</t>
    </r>
    <r>
      <rPr>
        <sz val="18"/>
        <color theme="1"/>
        <rFont val="宋体"/>
        <family val="3"/>
        <charset val="134"/>
      </rPr>
      <t>雷德梅因</t>
    </r>
    <phoneticPr fontId="2" type="noConversion"/>
  </si>
  <si>
    <t>BaseParameter.Character.VBalakrishnan</t>
  </si>
  <si>
    <r>
      <rPr>
        <sz val="18"/>
        <color theme="1"/>
        <rFont val="宋体"/>
        <family val="3"/>
        <charset val="134"/>
      </rPr>
      <t>芙里提卡</t>
    </r>
    <r>
      <rPr>
        <sz val="18"/>
        <color theme="1"/>
        <rFont val="Yu Gothic"/>
        <family val="2"/>
        <charset val="128"/>
      </rPr>
      <t>・</t>
    </r>
    <r>
      <rPr>
        <sz val="18"/>
        <color theme="1"/>
        <rFont val="宋体"/>
        <family val="3"/>
        <charset val="134"/>
      </rPr>
      <t>巴拉克里希南</t>
    </r>
    <phoneticPr fontId="2" type="noConversion"/>
  </si>
  <si>
    <t>BaseParameter.Character.MdAngelis</t>
  </si>
  <si>
    <r>
      <rPr>
        <sz val="18"/>
        <color theme="1"/>
        <rFont val="宋体"/>
        <family val="3"/>
        <charset val="134"/>
      </rPr>
      <t>瑪麗亞</t>
    </r>
    <r>
      <rPr>
        <sz val="18"/>
        <color theme="1"/>
        <rFont val="Yu Gothic"/>
        <family val="2"/>
        <charset val="128"/>
      </rPr>
      <t>・</t>
    </r>
    <r>
      <rPr>
        <sz val="18"/>
        <color theme="1"/>
        <rFont val="宋体"/>
        <family val="3"/>
        <charset val="134"/>
      </rPr>
      <t>黛</t>
    </r>
    <r>
      <rPr>
        <sz val="18"/>
        <color theme="1"/>
        <rFont val="Yu Gothic"/>
        <family val="2"/>
        <charset val="128"/>
      </rPr>
      <t>・</t>
    </r>
    <r>
      <rPr>
        <sz val="18"/>
        <color theme="1"/>
        <rFont val="宋体"/>
        <family val="3"/>
        <charset val="134"/>
      </rPr>
      <t>安傑利斯</t>
    </r>
    <phoneticPr fontId="2" type="noConversion"/>
  </si>
  <si>
    <t>BaseParameter.Character.CSkopovskaya</t>
  </si>
  <si>
    <r>
      <rPr>
        <sz val="18"/>
        <color theme="1"/>
        <rFont val="宋体"/>
        <family val="3"/>
        <charset val="134"/>
      </rPr>
      <t>夏洛特</t>
    </r>
    <r>
      <rPr>
        <sz val="18"/>
        <color theme="1"/>
        <rFont val="Yu Gothic"/>
        <family val="2"/>
        <charset val="128"/>
      </rPr>
      <t>・</t>
    </r>
    <r>
      <rPr>
        <sz val="18"/>
        <color theme="1"/>
        <rFont val="宋体"/>
        <family val="3"/>
        <charset val="134"/>
      </rPr>
      <t>斯可波夫斯加</t>
    </r>
    <phoneticPr fontId="2" type="noConversion"/>
  </si>
  <si>
    <t>BaseParameter.Character.AliceA</t>
    <phoneticPr fontId="2" type="noConversion"/>
  </si>
  <si>
    <t>BaseParameter.Character.AliceB</t>
    <phoneticPr fontId="2" type="noConversion"/>
  </si>
  <si>
    <t>BaseParameter.Character.AliceC</t>
    <phoneticPr fontId="2" type="noConversion"/>
  </si>
  <si>
    <t>BaseParameter.Character.BiancaA</t>
    <phoneticPr fontId="2" type="noConversion"/>
  </si>
  <si>
    <t>BaseParameter.Character.CathyA</t>
    <phoneticPr fontId="2" type="noConversion"/>
  </si>
  <si>
    <t>BaseParameter.Character.CathyB</t>
    <phoneticPr fontId="2" type="noConversion"/>
  </si>
  <si>
    <t>BaseParameter.Character.CathyC</t>
    <phoneticPr fontId="2" type="noConversion"/>
  </si>
  <si>
    <t>Power</t>
  </si>
  <si>
    <t>Dexterity</t>
  </si>
  <si>
    <t>Wisdom</t>
  </si>
  <si>
    <t>Luck</t>
  </si>
  <si>
    <t>Toughness</t>
  </si>
  <si>
    <t>Spirit</t>
  </si>
  <si>
    <t>Attacker</t>
    <phoneticPr fontId="2" type="noConversion"/>
  </si>
  <si>
    <t>Breaker</t>
    <phoneticPr fontId="2" type="noConversion"/>
  </si>
  <si>
    <t>Blaster</t>
    <phoneticPr fontId="2" type="noConversion"/>
  </si>
  <si>
    <t>Healer</t>
    <phoneticPr fontId="2" type="noConversion"/>
  </si>
  <si>
    <t>Buffer</t>
    <phoneticPr fontId="2" type="noConversion"/>
  </si>
  <si>
    <t>Debuffer</t>
    <phoneticPr fontId="2" type="noConversion"/>
  </si>
  <si>
    <t>Defender</t>
    <phoneticPr fontId="2" type="noConversion"/>
  </si>
  <si>
    <t>Admiral</t>
    <phoneticPr fontId="2" type="noConversion"/>
  </si>
  <si>
    <t>Rider</t>
    <phoneticPr fontId="2" type="noConversion"/>
  </si>
  <si>
    <r>
      <rPr>
        <sz val="18"/>
        <color theme="1"/>
        <rFont val="宋体"/>
        <family val="3"/>
        <charset val="134"/>
      </rPr>
      <t>角色</t>
    </r>
    <phoneticPr fontId="2" type="noConversion"/>
  </si>
  <si>
    <r>
      <rPr>
        <sz val="18"/>
        <color theme="1"/>
        <rFont val="宋体"/>
        <family val="3"/>
        <charset val="134"/>
      </rPr>
      <t>茅森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月歌</t>
    </r>
    <phoneticPr fontId="2" type="noConversion"/>
  </si>
  <si>
    <r>
      <rPr>
        <sz val="18"/>
        <color theme="1"/>
        <rFont val="宋体"/>
        <family val="3"/>
        <charset val="134"/>
      </rPr>
      <t>和泉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由希</t>
    </r>
    <phoneticPr fontId="2" type="noConversion"/>
  </si>
  <si>
    <r>
      <rPr>
        <sz val="18"/>
        <color theme="1"/>
        <rFont val="宋体"/>
        <family val="3"/>
        <charset val="134"/>
      </rPr>
      <t>東城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司</t>
    </r>
    <phoneticPr fontId="2" type="noConversion"/>
  </si>
  <si>
    <r>
      <rPr>
        <sz val="18"/>
        <color theme="1"/>
        <rFont val="宋体"/>
        <family val="3"/>
        <charset val="134"/>
      </rPr>
      <t>朝倉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可憐</t>
    </r>
    <r>
      <rPr>
        <sz val="18"/>
        <color theme="1"/>
        <rFont val="Times New Roman"/>
        <family val="1"/>
      </rPr>
      <t>-1</t>
    </r>
    <phoneticPr fontId="2" type="noConversion"/>
  </si>
  <si>
    <r>
      <rPr>
        <sz val="18"/>
        <color theme="1"/>
        <rFont val="宋体"/>
        <family val="3"/>
        <charset val="134"/>
      </rPr>
      <t>朝倉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可憐</t>
    </r>
    <r>
      <rPr>
        <sz val="18"/>
        <color theme="1"/>
        <rFont val="Times New Roman"/>
        <family val="1"/>
      </rPr>
      <t>-2</t>
    </r>
    <phoneticPr fontId="2" type="noConversion"/>
  </si>
  <si>
    <r>
      <rPr>
        <sz val="18"/>
        <color theme="1"/>
        <rFont val="宋体"/>
        <family val="3"/>
        <charset val="134"/>
      </rPr>
      <t>國見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玉</t>
    </r>
    <phoneticPr fontId="2" type="noConversion"/>
  </si>
  <si>
    <r>
      <rPr>
        <sz val="18"/>
        <color theme="1"/>
        <rFont val="宋体"/>
        <family val="3"/>
        <charset val="134"/>
      </rPr>
      <t>逢川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惠</t>
    </r>
    <phoneticPr fontId="2" type="noConversion"/>
  </si>
  <si>
    <r>
      <rPr>
        <sz val="18"/>
        <color theme="1"/>
        <rFont val="宋体"/>
        <family val="3"/>
        <charset val="134"/>
      </rPr>
      <t>蒼井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繪梨花</t>
    </r>
    <phoneticPr fontId="2" type="noConversion"/>
  </si>
  <si>
    <r>
      <rPr>
        <sz val="18"/>
        <color theme="1"/>
        <rFont val="宋体"/>
        <family val="3"/>
        <charset val="134"/>
      </rPr>
      <t>水瀨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莓</t>
    </r>
    <phoneticPr fontId="2" type="noConversion"/>
  </si>
  <si>
    <r>
      <rPr>
        <sz val="18"/>
        <color theme="1"/>
        <rFont val="宋体"/>
        <family val="3"/>
        <charset val="134"/>
      </rPr>
      <t>水瀨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李</t>
    </r>
    <phoneticPr fontId="2" type="noConversion"/>
  </si>
  <si>
    <r>
      <rPr>
        <sz val="18"/>
        <color theme="1"/>
        <rFont val="宋体"/>
        <family val="3"/>
        <charset val="134"/>
      </rPr>
      <t>樋口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聖華</t>
    </r>
    <phoneticPr fontId="2" type="noConversion"/>
  </si>
  <si>
    <r>
      <rPr>
        <sz val="18"/>
        <color theme="1"/>
        <rFont val="宋体"/>
        <family val="3"/>
        <charset val="134"/>
      </rPr>
      <t>柊木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梢</t>
    </r>
    <phoneticPr fontId="2" type="noConversion"/>
  </si>
  <si>
    <r>
      <rPr>
        <sz val="18"/>
        <color theme="1"/>
        <rFont val="宋体"/>
        <family val="3"/>
        <charset val="134"/>
      </rPr>
      <t>白虎</t>
    </r>
    <phoneticPr fontId="2" type="noConversion"/>
  </si>
  <si>
    <r>
      <rPr>
        <sz val="18"/>
        <color theme="1"/>
        <rFont val="宋体"/>
        <family val="3"/>
        <charset val="134"/>
      </rPr>
      <t>白河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結奈</t>
    </r>
    <phoneticPr fontId="2" type="noConversion"/>
  </si>
  <si>
    <r>
      <rPr>
        <sz val="18"/>
        <color theme="1"/>
        <rFont val="宋体"/>
        <family val="3"/>
        <charset val="134"/>
      </rPr>
      <t>月城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最中</t>
    </r>
    <phoneticPr fontId="2" type="noConversion"/>
  </si>
  <si>
    <r>
      <rPr>
        <sz val="18"/>
        <color theme="1"/>
        <rFont val="宋体"/>
        <family val="3"/>
        <charset val="134"/>
      </rPr>
      <t>桐生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美也</t>
    </r>
    <phoneticPr fontId="2" type="noConversion"/>
  </si>
  <si>
    <r>
      <rPr>
        <sz val="18"/>
        <color theme="1"/>
        <rFont val="宋体"/>
        <family val="3"/>
        <charset val="134"/>
      </rPr>
      <t>菅原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千惠</t>
    </r>
    <phoneticPr fontId="2" type="noConversion"/>
  </si>
  <si>
    <r>
      <rPr>
        <sz val="18"/>
        <color theme="1"/>
        <rFont val="宋体"/>
        <family val="3"/>
        <charset val="134"/>
      </rPr>
      <t>小笠原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緋雨</t>
    </r>
    <phoneticPr fontId="2" type="noConversion"/>
  </si>
  <si>
    <r>
      <rPr>
        <sz val="18"/>
        <color theme="1"/>
        <rFont val="宋体"/>
        <family val="3"/>
        <charset val="134"/>
      </rPr>
      <t>藏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里見</t>
    </r>
    <phoneticPr fontId="2" type="noConversion"/>
  </si>
  <si>
    <r>
      <rPr>
        <sz val="18"/>
        <color theme="1"/>
        <rFont val="宋体"/>
        <family val="3"/>
        <charset val="134"/>
      </rPr>
      <t>佐月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麻里</t>
    </r>
    <phoneticPr fontId="2" type="noConversion"/>
  </si>
  <si>
    <r>
      <rPr>
        <sz val="18"/>
        <color theme="1"/>
        <rFont val="宋体"/>
        <family val="3"/>
        <charset val="134"/>
      </rPr>
      <t>櫻庭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星羅</t>
    </r>
    <phoneticPr fontId="2" type="noConversion"/>
  </si>
  <si>
    <r>
      <rPr>
        <sz val="18"/>
        <color theme="1"/>
        <rFont val="宋体"/>
        <family val="3"/>
        <charset val="134"/>
      </rPr>
      <t>山脇</t>
    </r>
    <r>
      <rPr>
        <sz val="18"/>
        <color theme="1"/>
        <rFont val="Yu Gothic"/>
        <family val="1"/>
        <charset val="128"/>
      </rPr>
      <t>・</t>
    </r>
    <r>
      <rPr>
        <sz val="18"/>
        <color theme="1"/>
        <rFont val="宋体"/>
        <family val="3"/>
        <charset val="134"/>
      </rPr>
      <t>波昂</t>
    </r>
    <r>
      <rPr>
        <sz val="18"/>
        <color theme="1"/>
        <rFont val="Yu Gothic"/>
        <family val="1"/>
        <charset val="128"/>
      </rPr>
      <t>・</t>
    </r>
    <r>
      <rPr>
        <sz val="18"/>
        <color theme="1"/>
        <rFont val="宋体"/>
        <family val="3"/>
        <charset val="134"/>
      </rPr>
      <t>伊瓦爾</t>
    </r>
    <phoneticPr fontId="2" type="noConversion"/>
  </si>
  <si>
    <r>
      <rPr>
        <sz val="18"/>
        <color theme="1"/>
        <rFont val="宋体"/>
        <family val="3"/>
        <charset val="134"/>
      </rPr>
      <t>神崎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阿黛爾海德</t>
    </r>
    <phoneticPr fontId="2" type="noConversion"/>
  </si>
  <si>
    <r>
      <rPr>
        <sz val="18"/>
        <color theme="1"/>
        <rFont val="宋体"/>
        <family val="3"/>
        <charset val="134"/>
      </rPr>
      <t>天音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巫呼</t>
    </r>
    <phoneticPr fontId="2" type="noConversion"/>
  </si>
  <si>
    <r>
      <rPr>
        <sz val="18"/>
        <color rgb="FFFF0000"/>
        <rFont val="宋体"/>
        <family val="3"/>
        <charset val="134"/>
      </rPr>
      <t>七瀨</t>
    </r>
    <r>
      <rPr>
        <sz val="18"/>
        <color rgb="FFFF0000"/>
        <rFont val="Times New Roman"/>
        <family val="1"/>
      </rPr>
      <t xml:space="preserve"> </t>
    </r>
    <r>
      <rPr>
        <sz val="18"/>
        <color rgb="FFFF0000"/>
        <rFont val="宋体"/>
        <family val="3"/>
        <charset val="134"/>
      </rPr>
      <t>七海</t>
    </r>
    <phoneticPr fontId="2" type="noConversion"/>
  </si>
  <si>
    <r>
      <rPr>
        <sz val="18"/>
        <color theme="1"/>
        <rFont val="宋体"/>
        <family val="3"/>
        <charset val="134"/>
      </rPr>
      <t>豐後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彌生</t>
    </r>
    <phoneticPr fontId="2" type="noConversion"/>
  </si>
  <si>
    <r>
      <rPr>
        <sz val="18"/>
        <color theme="1"/>
        <rFont val="宋体"/>
        <family val="3"/>
        <charset val="134"/>
      </rPr>
      <t>二階堂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三鄉</t>
    </r>
    <phoneticPr fontId="2" type="noConversion"/>
  </si>
  <si>
    <r>
      <rPr>
        <sz val="18"/>
        <color theme="1"/>
        <rFont val="宋体"/>
        <family val="3"/>
        <charset val="134"/>
      </rPr>
      <t>石井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色葉</t>
    </r>
    <phoneticPr fontId="2" type="noConversion"/>
  </si>
  <si>
    <r>
      <rPr>
        <sz val="18"/>
        <color theme="1"/>
        <rFont val="宋体"/>
        <family val="3"/>
        <charset val="134"/>
      </rPr>
      <t>命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吹雪</t>
    </r>
    <phoneticPr fontId="2" type="noConversion"/>
  </si>
  <si>
    <r>
      <rPr>
        <sz val="18"/>
        <color theme="1"/>
        <rFont val="宋体"/>
        <family val="3"/>
        <charset val="134"/>
      </rPr>
      <t>室伏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理沙</t>
    </r>
    <r>
      <rPr>
        <sz val="18"/>
        <color theme="1"/>
        <rFont val="Times New Roman"/>
        <family val="1"/>
      </rPr>
      <t xml:space="preserve"> </t>
    </r>
    <phoneticPr fontId="2" type="noConversion"/>
  </si>
  <si>
    <r>
      <rPr>
        <sz val="18"/>
        <color theme="1"/>
        <rFont val="宋体"/>
        <family val="3"/>
        <charset val="134"/>
      </rPr>
      <t>伊達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朱里</t>
    </r>
    <phoneticPr fontId="2" type="noConversion"/>
  </si>
  <si>
    <r>
      <rPr>
        <sz val="18"/>
        <color theme="1"/>
        <rFont val="宋体"/>
        <family val="3"/>
        <charset val="134"/>
      </rPr>
      <t>瑞原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藍娜</t>
    </r>
    <phoneticPr fontId="2" type="noConversion"/>
  </si>
  <si>
    <r>
      <rPr>
        <sz val="18"/>
        <color theme="1"/>
        <rFont val="宋体"/>
        <family val="3"/>
        <charset val="134"/>
      </rPr>
      <t>立華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奏</t>
    </r>
    <phoneticPr fontId="2" type="noConversion"/>
  </si>
  <si>
    <r>
      <rPr>
        <sz val="18"/>
        <color theme="1"/>
        <rFont val="宋体"/>
        <family val="3"/>
        <charset val="134"/>
      </rPr>
      <t>仲村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百合</t>
    </r>
    <phoneticPr fontId="2" type="noConversion"/>
  </si>
  <si>
    <r>
      <rPr>
        <sz val="18"/>
        <color theme="1"/>
        <rFont val="宋体"/>
        <family val="3"/>
        <charset val="134"/>
      </rPr>
      <t>入江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美雪</t>
    </r>
    <phoneticPr fontId="2" type="noConversion"/>
  </si>
  <si>
    <r>
      <rPr>
        <sz val="18"/>
        <color theme="1"/>
        <rFont val="宋体"/>
        <family val="3"/>
        <charset val="134"/>
      </rPr>
      <t>渕田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久子</t>
    </r>
    <phoneticPr fontId="2" type="noConversion"/>
  </si>
  <si>
    <r>
      <rPr>
        <sz val="18"/>
        <color theme="1"/>
        <rFont val="宋体"/>
        <family val="3"/>
        <charset val="134"/>
      </rPr>
      <t>芳岡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唯</t>
    </r>
    <r>
      <rPr>
        <sz val="18"/>
        <color theme="1"/>
        <rFont val="Times New Roman"/>
        <family val="1"/>
      </rPr>
      <t xml:space="preserve"> </t>
    </r>
    <phoneticPr fontId="2" type="noConversion"/>
  </si>
  <si>
    <r>
      <rPr>
        <sz val="18"/>
        <color theme="1"/>
        <rFont val="宋体"/>
        <family val="3"/>
        <charset val="134"/>
      </rPr>
      <t>關根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詩織</t>
    </r>
    <phoneticPr fontId="2" type="noConversion"/>
  </si>
  <si>
    <r>
      <rPr>
        <sz val="18"/>
        <color theme="1"/>
        <rFont val="宋体"/>
        <family val="3"/>
        <charset val="134"/>
      </rPr>
      <t>岩澤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雅美</t>
    </r>
    <phoneticPr fontId="2" type="noConversion"/>
  </si>
  <si>
    <r>
      <rPr>
        <sz val="18"/>
        <color theme="1"/>
        <rFont val="宋体"/>
        <family val="3"/>
        <charset val="134"/>
      </rPr>
      <t>巨匠</t>
    </r>
    <phoneticPr fontId="2" type="noConversion"/>
  </si>
  <si>
    <r>
      <rPr>
        <sz val="18"/>
        <color theme="1"/>
        <rFont val="宋体"/>
        <family val="1"/>
        <charset val="134"/>
      </rPr>
      <t>巡官</t>
    </r>
    <phoneticPr fontId="2" type="noConversion"/>
  </si>
  <si>
    <r>
      <rPr>
        <sz val="18"/>
        <color theme="1"/>
        <rFont val="宋体"/>
        <family val="1"/>
        <charset val="134"/>
      </rPr>
      <t>指挥家</t>
    </r>
    <phoneticPr fontId="2" type="noConversion"/>
  </si>
  <si>
    <r>
      <rPr>
        <sz val="18"/>
        <color theme="1"/>
        <rFont val="宋体"/>
        <family val="1"/>
        <charset val="134"/>
      </rPr>
      <t>绝对防御</t>
    </r>
    <phoneticPr fontId="2" type="noConversion"/>
  </si>
  <si>
    <r>
      <rPr>
        <sz val="18"/>
        <color theme="1"/>
        <rFont val="宋体"/>
        <family val="1"/>
        <charset val="134"/>
      </rPr>
      <t>全能者</t>
    </r>
    <phoneticPr fontId="2" type="noConversion"/>
  </si>
  <si>
    <r>
      <rPr>
        <sz val="18"/>
        <color theme="1"/>
        <rFont val="宋体"/>
        <family val="1"/>
        <charset val="134"/>
      </rPr>
      <t>人工晶片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family val="1"/>
        <charset val="134"/>
      </rPr>
      <t>力量</t>
    </r>
    <phoneticPr fontId="2" type="noConversion"/>
  </si>
  <si>
    <r>
      <rPr>
        <sz val="18"/>
        <color theme="1"/>
        <rFont val="宋体"/>
        <family val="1"/>
        <charset val="134"/>
      </rPr>
      <t>人工晶片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family val="1"/>
        <charset val="134"/>
      </rPr>
      <t>灵巧</t>
    </r>
    <phoneticPr fontId="2" type="noConversion"/>
  </si>
  <si>
    <r>
      <rPr>
        <sz val="18"/>
        <color theme="1"/>
        <rFont val="宋体"/>
        <family val="1"/>
        <charset val="134"/>
      </rPr>
      <t>人工晶片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family val="1"/>
        <charset val="134"/>
      </rPr>
      <t>智力</t>
    </r>
    <phoneticPr fontId="2" type="noConversion"/>
  </si>
  <si>
    <r>
      <rPr>
        <sz val="18"/>
        <color theme="1"/>
        <rFont val="宋体"/>
        <family val="1"/>
        <charset val="134"/>
      </rPr>
      <t>人工晶片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family val="1"/>
        <charset val="134"/>
      </rPr>
      <t>体力</t>
    </r>
    <phoneticPr fontId="2" type="noConversion"/>
  </si>
  <si>
    <r>
      <rPr>
        <sz val="18"/>
        <color theme="1"/>
        <rFont val="宋体"/>
        <family val="1"/>
        <charset val="134"/>
      </rPr>
      <t>限</t>
    </r>
    <r>
      <rPr>
        <sz val="18"/>
        <color theme="1"/>
        <rFont val="Times New Roman"/>
        <family val="1"/>
      </rPr>
      <t>4</t>
    </r>
    <phoneticPr fontId="2" type="noConversion"/>
  </si>
  <si>
    <r>
      <rPr>
        <sz val="18"/>
        <color theme="1"/>
        <rFont val="宋体"/>
        <family val="1"/>
        <charset val="134"/>
      </rPr>
      <t>限</t>
    </r>
    <r>
      <rPr>
        <sz val="18"/>
        <color theme="1"/>
        <rFont val="Times New Roman"/>
        <family val="1"/>
      </rPr>
      <t>3</t>
    </r>
    <phoneticPr fontId="2" type="noConversion"/>
  </si>
  <si>
    <r>
      <rPr>
        <sz val="18"/>
        <color theme="1"/>
        <rFont val="宋体"/>
        <family val="1"/>
        <charset val="134"/>
      </rPr>
      <t>攻击</t>
    </r>
    <r>
      <rPr>
        <sz val="18"/>
        <color theme="1"/>
        <rFont val="Times New Roman"/>
        <family val="1"/>
      </rPr>
      <t>5</t>
    </r>
    <phoneticPr fontId="2" type="noConversion"/>
  </si>
  <si>
    <r>
      <rPr>
        <sz val="18"/>
        <color theme="1"/>
        <rFont val="宋体"/>
        <family val="1"/>
        <charset val="134"/>
      </rPr>
      <t>耐久</t>
    </r>
    <r>
      <rPr>
        <sz val="18"/>
        <color theme="1"/>
        <rFont val="Times New Roman"/>
        <family val="1"/>
      </rPr>
      <t>5</t>
    </r>
    <phoneticPr fontId="2" type="noConversion"/>
  </si>
  <si>
    <r>
      <rPr>
        <sz val="18"/>
        <color theme="1"/>
        <rFont val="宋体"/>
        <family val="1"/>
        <charset val="134"/>
      </rPr>
      <t>回复</t>
    </r>
    <r>
      <rPr>
        <sz val="18"/>
        <color theme="1"/>
        <rFont val="Times New Roman"/>
        <family val="1"/>
      </rPr>
      <t>5</t>
    </r>
    <phoneticPr fontId="2" type="noConversion"/>
  </si>
  <si>
    <t>力体偏向</t>
    <phoneticPr fontId="2" type="noConversion"/>
  </si>
  <si>
    <t>器运偏向</t>
    <phoneticPr fontId="2" type="noConversion"/>
  </si>
  <si>
    <t>智精偏向</t>
    <phoneticPr fontId="2" type="noConversion"/>
  </si>
  <si>
    <r>
      <t>ATK</t>
    </r>
    <r>
      <rPr>
        <sz val="18"/>
        <color theme="1"/>
        <rFont val="宋体"/>
        <family val="1"/>
        <charset val="134"/>
      </rPr>
      <t>为力体型</t>
    </r>
    <phoneticPr fontId="2" type="noConversion"/>
  </si>
  <si>
    <r>
      <rPr>
        <sz val="18"/>
        <rFont val="宋体"/>
        <family val="3"/>
        <charset val="134"/>
      </rPr>
      <t>瑪麗亞</t>
    </r>
    <r>
      <rPr>
        <sz val="18"/>
        <rFont val="Yu Gothic"/>
        <family val="2"/>
        <charset val="128"/>
      </rPr>
      <t>・</t>
    </r>
    <r>
      <rPr>
        <sz val="18"/>
        <rFont val="宋体"/>
        <family val="3"/>
        <charset val="134"/>
      </rPr>
      <t>黛</t>
    </r>
    <r>
      <rPr>
        <sz val="18"/>
        <rFont val="Yu Gothic"/>
        <family val="2"/>
        <charset val="128"/>
      </rPr>
      <t>・</t>
    </r>
    <r>
      <rPr>
        <sz val="18"/>
        <rFont val="宋体"/>
        <family val="3"/>
        <charset val="134"/>
      </rPr>
      <t>安傑利斯</t>
    </r>
    <phoneticPr fontId="2" type="noConversion"/>
  </si>
  <si>
    <t>Power</t>
    <phoneticPr fontId="2" type="noConversion"/>
  </si>
  <si>
    <t>Dexterity</t>
    <phoneticPr fontId="2" type="noConversion"/>
  </si>
  <si>
    <t>Wisdom</t>
    <phoneticPr fontId="2" type="noConversion"/>
  </si>
  <si>
    <t>Luck</t>
    <phoneticPr fontId="2" type="noConversion"/>
  </si>
  <si>
    <t>Toughness</t>
    <phoneticPr fontId="2" type="noConversion"/>
  </si>
  <si>
    <t>Level</t>
    <phoneticPr fontId="2" type="noConversion"/>
  </si>
  <si>
    <r>
      <rPr>
        <sz val="18"/>
        <color theme="1"/>
        <rFont val="宋体"/>
        <family val="2"/>
        <charset val="134"/>
      </rPr>
      <t>徽章等级</t>
    </r>
    <phoneticPr fontId="2" type="noConversion"/>
  </si>
  <si>
    <r>
      <rPr>
        <sz val="18"/>
        <color theme="1"/>
        <rFont val="宋体"/>
        <family val="2"/>
        <charset val="134"/>
      </rPr>
      <t>转生次数</t>
    </r>
    <phoneticPr fontId="2" type="noConversion"/>
  </si>
  <si>
    <r>
      <rPr>
        <sz val="18"/>
        <color theme="1"/>
        <rFont val="宋体"/>
        <family val="2"/>
        <charset val="134"/>
      </rPr>
      <t>角色</t>
    </r>
    <phoneticPr fontId="2" type="noConversion"/>
  </si>
  <si>
    <t>MinPower</t>
    <phoneticPr fontId="2" type="noConversion"/>
  </si>
  <si>
    <t>MaxPower</t>
    <phoneticPr fontId="2" type="noConversion"/>
  </si>
  <si>
    <t>MinDexterity</t>
    <phoneticPr fontId="2" type="noConversion"/>
  </si>
  <si>
    <t>MaxDexterity</t>
    <phoneticPr fontId="2" type="noConversion"/>
  </si>
  <si>
    <t>MinWisdom</t>
    <phoneticPr fontId="2" type="noConversion"/>
  </si>
  <si>
    <t>MaxWisdom</t>
    <phoneticPr fontId="2" type="noConversion"/>
  </si>
  <si>
    <t>MinLuck</t>
    <phoneticPr fontId="2" type="noConversion"/>
  </si>
  <si>
    <t>MaxLuck</t>
    <phoneticPr fontId="2" type="noConversion"/>
  </si>
  <si>
    <t>MinToughness</t>
    <phoneticPr fontId="2" type="noConversion"/>
  </si>
  <si>
    <t>MaxToughness</t>
    <phoneticPr fontId="2" type="noConversion"/>
  </si>
  <si>
    <t>MinSpirit</t>
    <phoneticPr fontId="2" type="noConversion"/>
  </si>
  <si>
    <t>MaxSpirit</t>
    <phoneticPr fontId="2" type="noConversion"/>
  </si>
  <si>
    <r>
      <rPr>
        <sz val="18"/>
        <color theme="1"/>
        <rFont val="宋体"/>
        <family val="2"/>
        <charset val="134"/>
      </rPr>
      <t>茅森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2"/>
        <charset val="134"/>
      </rPr>
      <t>月歌</t>
    </r>
    <phoneticPr fontId="2" type="noConversion"/>
  </si>
  <si>
    <r>
      <rPr>
        <sz val="18"/>
        <color theme="1"/>
        <rFont val="宋体"/>
        <family val="2"/>
        <charset val="134"/>
      </rPr>
      <t>和泉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2"/>
        <charset val="134"/>
      </rPr>
      <t>由希</t>
    </r>
    <phoneticPr fontId="2" type="noConversion"/>
  </si>
  <si>
    <r>
      <rPr>
        <sz val="18"/>
        <color theme="1"/>
        <rFont val="宋体"/>
        <family val="2"/>
        <charset val="134"/>
      </rPr>
      <t>東城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2"/>
        <charset val="134"/>
      </rPr>
      <t>司</t>
    </r>
    <phoneticPr fontId="2" type="noConversion"/>
  </si>
  <si>
    <r>
      <rPr>
        <sz val="18"/>
        <color theme="1"/>
        <rFont val="宋体"/>
        <family val="2"/>
        <charset val="134"/>
      </rPr>
      <t>朝倉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2"/>
        <charset val="134"/>
      </rPr>
      <t>可憐</t>
    </r>
    <r>
      <rPr>
        <sz val="18"/>
        <color theme="1"/>
        <rFont val="Times New Roman"/>
        <family val="1"/>
      </rPr>
      <t>-1</t>
    </r>
    <phoneticPr fontId="2" type="noConversion"/>
  </si>
  <si>
    <r>
      <rPr>
        <sz val="18"/>
        <color theme="1"/>
        <rFont val="宋体"/>
        <family val="2"/>
        <charset val="134"/>
      </rPr>
      <t>朝倉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2"/>
        <charset val="134"/>
      </rPr>
      <t>可憐</t>
    </r>
    <r>
      <rPr>
        <sz val="18"/>
        <color theme="1"/>
        <rFont val="Times New Roman"/>
        <family val="1"/>
      </rPr>
      <t>-2</t>
    </r>
    <phoneticPr fontId="2" type="noConversion"/>
  </si>
  <si>
    <r>
      <rPr>
        <sz val="18"/>
        <color theme="1"/>
        <rFont val="宋体"/>
        <family val="1"/>
        <charset val="134"/>
      </rPr>
      <t>國見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1"/>
        <charset val="134"/>
      </rPr>
      <t>玉</t>
    </r>
    <phoneticPr fontId="2" type="noConversion"/>
  </si>
  <si>
    <r>
      <rPr>
        <sz val="18"/>
        <color theme="1"/>
        <rFont val="宋体"/>
        <family val="1"/>
        <charset val="134"/>
      </rPr>
      <t>逢川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1"/>
        <charset val="134"/>
      </rPr>
      <t>惠</t>
    </r>
    <phoneticPr fontId="2" type="noConversion"/>
  </si>
  <si>
    <r>
      <rPr>
        <sz val="18"/>
        <color theme="1"/>
        <rFont val="宋体"/>
        <family val="1"/>
        <charset val="134"/>
      </rPr>
      <t>蒼井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1"/>
        <charset val="134"/>
      </rPr>
      <t>繪梨花</t>
    </r>
    <phoneticPr fontId="2" type="noConversion"/>
  </si>
  <si>
    <r>
      <rPr>
        <sz val="18"/>
        <color theme="1"/>
        <rFont val="宋体"/>
        <family val="1"/>
        <charset val="134"/>
      </rPr>
      <t>水瀨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1"/>
        <charset val="134"/>
      </rPr>
      <t>莓</t>
    </r>
    <phoneticPr fontId="2" type="noConversion"/>
  </si>
  <si>
    <r>
      <rPr>
        <sz val="18"/>
        <color theme="1"/>
        <rFont val="宋体"/>
        <family val="1"/>
        <charset val="134"/>
      </rPr>
      <t>水瀨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1"/>
        <charset val="134"/>
      </rPr>
      <t>李</t>
    </r>
    <phoneticPr fontId="2" type="noConversion"/>
  </si>
  <si>
    <r>
      <rPr>
        <sz val="18"/>
        <color theme="1"/>
        <rFont val="宋体"/>
        <family val="1"/>
        <charset val="134"/>
      </rPr>
      <t>樋口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1"/>
        <charset val="134"/>
      </rPr>
      <t>聖華</t>
    </r>
    <phoneticPr fontId="2" type="noConversion"/>
  </si>
  <si>
    <r>
      <rPr>
        <sz val="18"/>
        <color theme="1"/>
        <rFont val="宋体"/>
        <family val="1"/>
        <charset val="134"/>
      </rPr>
      <t>柊木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1"/>
        <charset val="134"/>
      </rPr>
      <t>梢</t>
    </r>
    <phoneticPr fontId="2" type="noConversion"/>
  </si>
  <si>
    <t>白虎</t>
    <phoneticPr fontId="2" type="noConversion"/>
  </si>
  <si>
    <r>
      <rPr>
        <sz val="18"/>
        <color theme="1"/>
        <rFont val="宋体"/>
        <family val="1"/>
        <charset val="134"/>
      </rPr>
      <t>白河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1"/>
        <charset val="134"/>
      </rPr>
      <t>結奈</t>
    </r>
    <phoneticPr fontId="2" type="noConversion"/>
  </si>
  <si>
    <r>
      <rPr>
        <sz val="18"/>
        <color theme="1"/>
        <rFont val="宋体"/>
        <family val="1"/>
        <charset val="134"/>
      </rPr>
      <t>月城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1"/>
        <charset val="134"/>
      </rPr>
      <t>最中</t>
    </r>
    <phoneticPr fontId="2" type="noConversion"/>
  </si>
  <si>
    <r>
      <rPr>
        <sz val="18"/>
        <color theme="1"/>
        <rFont val="宋体"/>
        <family val="1"/>
        <charset val="134"/>
      </rPr>
      <t>桐生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1"/>
        <charset val="134"/>
      </rPr>
      <t>美也</t>
    </r>
    <phoneticPr fontId="2" type="noConversion"/>
  </si>
  <si>
    <r>
      <rPr>
        <sz val="18"/>
        <color theme="1"/>
        <rFont val="宋体"/>
        <family val="1"/>
        <charset val="134"/>
      </rPr>
      <t>菅原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1"/>
        <charset val="134"/>
      </rPr>
      <t>千惠</t>
    </r>
    <phoneticPr fontId="2" type="noConversion"/>
  </si>
  <si>
    <r>
      <rPr>
        <sz val="18"/>
        <color theme="1"/>
        <rFont val="宋体"/>
        <family val="1"/>
        <charset val="134"/>
      </rPr>
      <t>小笠原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1"/>
        <charset val="134"/>
      </rPr>
      <t>緋雨</t>
    </r>
    <phoneticPr fontId="2" type="noConversion"/>
  </si>
  <si>
    <r>
      <rPr>
        <sz val="18"/>
        <color theme="1"/>
        <rFont val="宋体"/>
        <family val="1"/>
        <charset val="134"/>
      </rPr>
      <t>藏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1"/>
        <charset val="134"/>
      </rPr>
      <t>里見</t>
    </r>
    <phoneticPr fontId="2" type="noConversion"/>
  </si>
  <si>
    <r>
      <rPr>
        <sz val="18"/>
        <color theme="1"/>
        <rFont val="宋体"/>
        <family val="1"/>
        <charset val="134"/>
      </rPr>
      <t>佐月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1"/>
        <charset val="134"/>
      </rPr>
      <t>麻里</t>
    </r>
    <phoneticPr fontId="2" type="noConversion"/>
  </si>
  <si>
    <r>
      <rPr>
        <sz val="18"/>
        <color theme="1"/>
        <rFont val="宋体"/>
        <family val="1"/>
        <charset val="134"/>
      </rPr>
      <t>櫻庭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1"/>
        <charset val="134"/>
      </rPr>
      <t>星羅</t>
    </r>
    <phoneticPr fontId="2" type="noConversion"/>
  </si>
  <si>
    <t>山脇・波昂・伊瓦爾</t>
    <phoneticPr fontId="2" type="noConversion"/>
  </si>
  <si>
    <r>
      <rPr>
        <sz val="18"/>
        <color theme="1"/>
        <rFont val="宋体"/>
        <family val="1"/>
        <charset val="134"/>
      </rPr>
      <t>神崎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1"/>
        <charset val="134"/>
      </rPr>
      <t>阿黛爾海德</t>
    </r>
    <phoneticPr fontId="2" type="noConversion"/>
  </si>
  <si>
    <r>
      <rPr>
        <sz val="18"/>
        <color theme="1"/>
        <rFont val="宋体"/>
        <family val="1"/>
        <charset val="134"/>
      </rPr>
      <t>天音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1"/>
        <charset val="134"/>
      </rPr>
      <t>巫呼</t>
    </r>
    <phoneticPr fontId="2" type="noConversion"/>
  </si>
  <si>
    <r>
      <rPr>
        <sz val="18"/>
        <color rgb="FFFF0000"/>
        <rFont val="宋体"/>
        <family val="1"/>
        <charset val="134"/>
      </rPr>
      <t>七瀨</t>
    </r>
    <r>
      <rPr>
        <sz val="18"/>
        <color rgb="FFFF0000"/>
        <rFont val="Times New Roman"/>
        <family val="1"/>
      </rPr>
      <t xml:space="preserve"> </t>
    </r>
    <r>
      <rPr>
        <sz val="18"/>
        <color rgb="FFFF0000"/>
        <rFont val="宋体"/>
        <family val="1"/>
        <charset val="134"/>
      </rPr>
      <t>七海</t>
    </r>
    <phoneticPr fontId="2" type="noConversion"/>
  </si>
  <si>
    <r>
      <rPr>
        <sz val="18"/>
        <color theme="1"/>
        <rFont val="宋体"/>
        <family val="1"/>
        <charset val="134"/>
      </rPr>
      <t>豐後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1"/>
        <charset val="134"/>
      </rPr>
      <t>彌生</t>
    </r>
    <phoneticPr fontId="2" type="noConversion"/>
  </si>
  <si>
    <r>
      <rPr>
        <sz val="18"/>
        <color theme="1"/>
        <rFont val="宋体"/>
        <family val="1"/>
        <charset val="134"/>
      </rPr>
      <t>二階堂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1"/>
        <charset val="134"/>
      </rPr>
      <t>三鄉</t>
    </r>
    <phoneticPr fontId="2" type="noConversion"/>
  </si>
  <si>
    <r>
      <rPr>
        <sz val="18"/>
        <color theme="1"/>
        <rFont val="宋体"/>
        <family val="1"/>
        <charset val="134"/>
      </rPr>
      <t>石井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1"/>
        <charset val="134"/>
      </rPr>
      <t>色葉</t>
    </r>
    <phoneticPr fontId="2" type="noConversion"/>
  </si>
  <si>
    <r>
      <rPr>
        <sz val="18"/>
        <color theme="1"/>
        <rFont val="宋体"/>
        <family val="1"/>
        <charset val="134"/>
      </rPr>
      <t>命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1"/>
        <charset val="134"/>
      </rPr>
      <t>吹雪</t>
    </r>
    <phoneticPr fontId="2" type="noConversion"/>
  </si>
  <si>
    <r>
      <rPr>
        <sz val="18"/>
        <color theme="1"/>
        <rFont val="宋体"/>
        <family val="1"/>
        <charset val="134"/>
      </rPr>
      <t>室伏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1"/>
        <charset val="134"/>
      </rPr>
      <t>理沙</t>
    </r>
    <r>
      <rPr>
        <sz val="18"/>
        <color theme="1"/>
        <rFont val="Times New Roman"/>
        <family val="1"/>
      </rPr>
      <t xml:space="preserve"> </t>
    </r>
    <phoneticPr fontId="2" type="noConversion"/>
  </si>
  <si>
    <r>
      <rPr>
        <sz val="18"/>
        <color theme="1"/>
        <rFont val="宋体"/>
        <family val="1"/>
        <charset val="134"/>
      </rPr>
      <t>伊達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1"/>
        <charset val="134"/>
      </rPr>
      <t>朱里</t>
    </r>
    <phoneticPr fontId="2" type="noConversion"/>
  </si>
  <si>
    <r>
      <rPr>
        <sz val="18"/>
        <color theme="1"/>
        <rFont val="宋体"/>
        <family val="1"/>
        <charset val="134"/>
      </rPr>
      <t>瑞原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1"/>
        <charset val="134"/>
      </rPr>
      <t>藍娜</t>
    </r>
    <phoneticPr fontId="2" type="noConversion"/>
  </si>
  <si>
    <r>
      <rPr>
        <sz val="18"/>
        <color theme="1"/>
        <rFont val="宋体"/>
        <family val="1"/>
        <charset val="134"/>
      </rPr>
      <t>立華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1"/>
        <charset val="134"/>
      </rPr>
      <t>奏</t>
    </r>
    <phoneticPr fontId="2" type="noConversion"/>
  </si>
  <si>
    <r>
      <rPr>
        <sz val="18"/>
        <color theme="1"/>
        <rFont val="宋体"/>
        <family val="1"/>
        <charset val="134"/>
      </rPr>
      <t>仲村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1"/>
        <charset val="134"/>
      </rPr>
      <t>百合</t>
    </r>
    <phoneticPr fontId="2" type="noConversion"/>
  </si>
  <si>
    <r>
      <rPr>
        <sz val="18"/>
        <color theme="1"/>
        <rFont val="宋体"/>
        <family val="1"/>
        <charset val="134"/>
      </rPr>
      <t>入江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1"/>
        <charset val="134"/>
      </rPr>
      <t>美雪</t>
    </r>
    <phoneticPr fontId="2" type="noConversion"/>
  </si>
  <si>
    <r>
      <rPr>
        <sz val="18"/>
        <color theme="1"/>
        <rFont val="宋体"/>
        <family val="1"/>
        <charset val="134"/>
      </rPr>
      <t>渕田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1"/>
        <charset val="134"/>
      </rPr>
      <t>久子</t>
    </r>
    <phoneticPr fontId="2" type="noConversion"/>
  </si>
  <si>
    <r>
      <rPr>
        <sz val="18"/>
        <color theme="1"/>
        <rFont val="宋体"/>
        <family val="1"/>
        <charset val="134"/>
      </rPr>
      <t>芳岡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1"/>
        <charset val="134"/>
      </rPr>
      <t>唯</t>
    </r>
    <r>
      <rPr>
        <sz val="18"/>
        <color theme="1"/>
        <rFont val="Times New Roman"/>
        <family val="1"/>
      </rPr>
      <t xml:space="preserve"> </t>
    </r>
    <phoneticPr fontId="2" type="noConversion"/>
  </si>
  <si>
    <r>
      <rPr>
        <sz val="18"/>
        <color theme="1"/>
        <rFont val="宋体"/>
        <family val="1"/>
        <charset val="134"/>
      </rPr>
      <t>關根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1"/>
        <charset val="134"/>
      </rPr>
      <t>詩織</t>
    </r>
    <phoneticPr fontId="2" type="noConversion"/>
  </si>
  <si>
    <r>
      <rPr>
        <sz val="18"/>
        <color theme="1"/>
        <rFont val="宋体"/>
        <family val="1"/>
        <charset val="134"/>
      </rPr>
      <t>岩澤</t>
    </r>
    <r>
      <rPr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1"/>
        <charset val="134"/>
      </rPr>
      <t>雅美</t>
    </r>
    <phoneticPr fontId="2" type="noConversion"/>
  </si>
  <si>
    <t>A-S
Gen</t>
    <phoneticPr fontId="2" type="noConversion"/>
  </si>
  <si>
    <t>SS
Gen</t>
    <phoneticPr fontId="2" type="noConversion"/>
  </si>
  <si>
    <r>
      <rPr>
        <sz val="18"/>
        <color theme="0" tint="-0.499984740745262"/>
        <rFont val="宋体"/>
        <family val="1"/>
        <charset val="134"/>
      </rPr>
      <t>选填</t>
    </r>
    <phoneticPr fontId="2" type="noConversion"/>
  </si>
  <si>
    <r>
      <rPr>
        <sz val="18"/>
        <color theme="1"/>
        <rFont val="宋体"/>
        <family val="1"/>
        <charset val="134"/>
      </rPr>
      <t>力体型</t>
    </r>
    <phoneticPr fontId="2" type="noConversion"/>
  </si>
  <si>
    <r>
      <rPr>
        <sz val="18"/>
        <color theme="1"/>
        <rFont val="宋体"/>
        <family val="1"/>
        <charset val="134"/>
      </rPr>
      <t>器运型</t>
    </r>
    <phoneticPr fontId="2" type="noConversion"/>
  </si>
  <si>
    <r>
      <rPr>
        <sz val="18"/>
        <color theme="1"/>
        <rFont val="宋体"/>
        <family val="1"/>
        <charset val="134"/>
      </rPr>
      <t>智精型</t>
    </r>
    <phoneticPr fontId="2" type="noConversion"/>
  </si>
  <si>
    <r>
      <rPr>
        <sz val="18"/>
        <color theme="0" tint="-0.499984740745262"/>
        <rFont val="宋体"/>
        <family val="1"/>
        <charset val="134"/>
      </rPr>
      <t>请输入</t>
    </r>
    <r>
      <rPr>
        <sz val="18"/>
        <color theme="0" tint="-0.499984740745262"/>
        <rFont val="Times New Roman"/>
        <family val="1"/>
      </rPr>
      <t>0-20</t>
    </r>
    <phoneticPr fontId="2" type="noConversion"/>
  </si>
  <si>
    <r>
      <rPr>
        <sz val="18"/>
        <color theme="1"/>
        <rFont val="宋体"/>
        <family val="2"/>
        <charset val="134"/>
      </rPr>
      <t>突破等级</t>
    </r>
    <phoneticPr fontId="2" type="noConversion"/>
  </si>
  <si>
    <r>
      <rPr>
        <sz val="18"/>
        <color theme="0" tint="-0.499984740745262"/>
        <rFont val="宋体"/>
        <family val="1"/>
        <charset val="134"/>
      </rPr>
      <t>原皮满破与才能开花均记为突破等级</t>
    </r>
    <r>
      <rPr>
        <sz val="18"/>
        <color theme="0" tint="-0.499984740745262"/>
        <rFont val="Times New Roman"/>
        <family val="1"/>
      </rPr>
      <t>+1</t>
    </r>
    <r>
      <rPr>
        <sz val="18"/>
        <color theme="0" tint="-0.499984740745262"/>
        <rFont val="宋体"/>
        <family val="1"/>
        <charset val="134"/>
      </rPr>
      <t>；请输入</t>
    </r>
    <r>
      <rPr>
        <sz val="18"/>
        <color theme="0" tint="-0.499984740745262"/>
        <rFont val="Times New Roman"/>
        <family val="1"/>
      </rPr>
      <t>0-6</t>
    </r>
    <phoneticPr fontId="2" type="noConversion"/>
  </si>
  <si>
    <t>OutPut2</t>
    <phoneticPr fontId="2" type="noConversion"/>
  </si>
  <si>
    <r>
      <rPr>
        <sz val="18"/>
        <color theme="1"/>
        <rFont val="宋体"/>
        <family val="1"/>
        <charset val="134"/>
      </rPr>
      <t>合计
状态值</t>
    </r>
    <phoneticPr fontId="2" type="noConversion"/>
  </si>
  <si>
    <r>
      <rPr>
        <sz val="18"/>
        <color theme="1"/>
        <rFont val="宋体"/>
        <family val="1"/>
        <charset val="134"/>
      </rPr>
      <t>打分</t>
    </r>
    <r>
      <rPr>
        <sz val="18"/>
        <color theme="1"/>
        <rFont val="Times New Roman"/>
        <family val="1"/>
      </rPr>
      <t>buff</t>
    </r>
    <phoneticPr fontId="2" type="noConversion"/>
  </si>
  <si>
    <r>
      <rPr>
        <sz val="18"/>
        <color theme="0" tint="-0.499984740745262"/>
        <rFont val="宋体"/>
        <family val="1"/>
        <charset val="134"/>
      </rPr>
      <t>请输入</t>
    </r>
    <r>
      <rPr>
        <sz val="18"/>
        <color theme="0" tint="-0.499984740745262"/>
        <rFont val="Times New Roman"/>
        <family val="1"/>
      </rPr>
      <t>0</t>
    </r>
    <r>
      <rPr>
        <sz val="18"/>
        <color theme="0" tint="-0.499984740745262"/>
        <rFont val="宋体"/>
        <family val="1"/>
        <charset val="134"/>
      </rPr>
      <t>或</t>
    </r>
    <r>
      <rPr>
        <sz val="18"/>
        <color theme="0" tint="-0.499984740745262"/>
        <rFont val="Times New Roman"/>
        <family val="1"/>
      </rPr>
      <t>15</t>
    </r>
    <r>
      <rPr>
        <sz val="18"/>
        <color theme="0" tint="-0.499984740745262"/>
        <rFont val="宋体"/>
        <family val="1"/>
        <charset val="134"/>
      </rPr>
      <t>或</t>
    </r>
    <r>
      <rPr>
        <sz val="18"/>
        <color theme="0" tint="-0.499984740745262"/>
        <rFont val="Times New Roman"/>
        <family val="1"/>
      </rPr>
      <t>30</t>
    </r>
    <phoneticPr fontId="2" type="noConversion"/>
  </si>
  <si>
    <t>(-48)</t>
    <phoneticPr fontId="2" type="noConversion"/>
  </si>
  <si>
    <r>
      <t>[</t>
    </r>
    <r>
      <rPr>
        <sz val="18"/>
        <color theme="4"/>
        <rFont val="宋体"/>
        <family val="1"/>
        <charset val="134"/>
      </rPr>
      <t>对</t>
    </r>
    <r>
      <rPr>
        <sz val="18"/>
        <color theme="4"/>
        <rFont val="Times New Roman"/>
        <family val="1"/>
      </rPr>
      <t>HP+]</t>
    </r>
    <r>
      <rPr>
        <sz val="18"/>
        <color theme="4"/>
        <rFont val="宋体"/>
        <family val="1"/>
        <charset val="134"/>
      </rPr>
      <t>最优配装</t>
    </r>
    <phoneticPr fontId="2" type="noConversion"/>
  </si>
  <si>
    <r>
      <t>[</t>
    </r>
    <r>
      <rPr>
        <sz val="18"/>
        <color theme="4"/>
        <rFont val="宋体"/>
        <family val="1"/>
        <charset val="134"/>
      </rPr>
      <t>对</t>
    </r>
    <r>
      <rPr>
        <sz val="18"/>
        <color theme="4"/>
        <rFont val="Times New Roman"/>
        <family val="1"/>
      </rPr>
      <t>DP+]</t>
    </r>
    <r>
      <rPr>
        <sz val="18"/>
        <color theme="4"/>
        <rFont val="宋体"/>
        <family val="1"/>
        <charset val="134"/>
      </rPr>
      <t>最优配装</t>
    </r>
    <phoneticPr fontId="2" type="noConversion"/>
  </si>
  <si>
    <r>
      <rPr>
        <sz val="18"/>
        <color theme="4"/>
        <rFont val="宋体"/>
        <family val="1"/>
        <charset val="134"/>
      </rPr>
      <t>智力依存最优配装</t>
    </r>
    <phoneticPr fontId="2" type="noConversion"/>
  </si>
  <si>
    <r>
      <rPr>
        <sz val="18"/>
        <color theme="4"/>
        <rFont val="宋体"/>
        <family val="1"/>
        <charset val="134"/>
      </rPr>
      <t>体力依存最优配装</t>
    </r>
    <phoneticPr fontId="2" type="noConversion"/>
  </si>
  <si>
    <r>
      <rPr>
        <sz val="18"/>
        <color theme="4"/>
        <rFont val="宋体"/>
        <family val="1"/>
        <charset val="134"/>
      </rPr>
      <t>精神</t>
    </r>
    <r>
      <rPr>
        <sz val="18"/>
        <color theme="4"/>
        <rFont val="Times New Roman"/>
        <family val="1"/>
      </rPr>
      <t>max</t>
    </r>
    <r>
      <rPr>
        <sz val="18"/>
        <color theme="4"/>
        <rFont val="宋体"/>
        <family val="1"/>
        <charset val="134"/>
      </rPr>
      <t>最优配装</t>
    </r>
    <phoneticPr fontId="2" type="noConversion"/>
  </si>
  <si>
    <r>
      <rPr>
        <sz val="18"/>
        <color theme="4"/>
        <rFont val="宋体"/>
        <family val="1"/>
        <charset val="134"/>
      </rPr>
      <t>脆弱最优，但红晶片用完了</t>
    </r>
    <phoneticPr fontId="2" type="noConversion"/>
  </si>
  <si>
    <r>
      <rPr>
        <sz val="18"/>
        <color theme="4"/>
        <rFont val="宋体"/>
        <family val="1"/>
        <charset val="134"/>
      </rPr>
      <t>减防最优，但红晶片用完了</t>
    </r>
    <phoneticPr fontId="2" type="noConversion"/>
  </si>
  <si>
    <r>
      <rPr>
        <sz val="18"/>
        <color theme="0" tint="-0.499984740745262"/>
        <rFont val="宋体"/>
        <family val="3"/>
        <charset val="134"/>
      </rPr>
      <t>请在</t>
    </r>
    <r>
      <rPr>
        <sz val="18"/>
        <color theme="0" tint="-0.499984740745262"/>
        <rFont val="Times New Roman"/>
        <family val="1"/>
      </rPr>
      <t>SS</t>
    </r>
    <r>
      <rPr>
        <sz val="18"/>
        <color theme="0" tint="-0.499984740745262"/>
        <rFont val="宋体"/>
        <family val="3"/>
        <charset val="134"/>
      </rPr>
      <t>偏向统计中查询角色</t>
    </r>
    <r>
      <rPr>
        <sz val="18"/>
        <color theme="0" tint="-0.499984740745262"/>
        <rFont val="Times New Roman"/>
        <family val="1"/>
      </rPr>
      <t>ID</t>
    </r>
    <phoneticPr fontId="2" type="noConversion"/>
  </si>
  <si>
    <r>
      <rPr>
        <sz val="18"/>
        <color theme="4"/>
        <rFont val="宋体"/>
        <family val="1"/>
        <charset val="134"/>
      </rPr>
      <t>基础值</t>
    </r>
    <r>
      <rPr>
        <sz val="18"/>
        <color theme="4"/>
        <rFont val="Times New Roman"/>
        <family val="1"/>
      </rPr>
      <t>-</t>
    </r>
    <r>
      <rPr>
        <sz val="18"/>
        <color theme="4"/>
        <rFont val="宋体"/>
        <family val="1"/>
        <charset val="134"/>
      </rPr>
      <t>修正行</t>
    </r>
    <phoneticPr fontId="2" type="noConversion"/>
  </si>
  <si>
    <r>
      <t>OutPut1-</t>
    </r>
    <r>
      <rPr>
        <sz val="18"/>
        <color theme="1"/>
        <rFont val="宋体"/>
        <family val="1"/>
        <charset val="134"/>
      </rPr>
      <t>基础状态值</t>
    </r>
    <phoneticPr fontId="2" type="noConversion"/>
  </si>
  <si>
    <r>
      <rPr>
        <sz val="18"/>
        <color theme="1"/>
        <rFont val="宋体"/>
        <family val="1"/>
        <charset val="134"/>
      </rPr>
      <t>模组</t>
    </r>
    <r>
      <rPr>
        <sz val="18"/>
        <color theme="1"/>
        <rFont val="Times New Roman"/>
        <family val="1"/>
      </rPr>
      <t>&amp;</t>
    </r>
    <r>
      <rPr>
        <sz val="18"/>
        <color theme="1"/>
        <rFont val="宋体"/>
        <family val="1"/>
        <charset val="134"/>
      </rPr>
      <t>晶片</t>
    </r>
    <r>
      <rPr>
        <sz val="18"/>
        <color theme="1"/>
        <rFont val="Times New Roman"/>
        <family val="1"/>
      </rPr>
      <t>&amp;</t>
    </r>
    <r>
      <rPr>
        <sz val="18"/>
        <color theme="1"/>
        <rFont val="宋体"/>
        <family val="1"/>
        <charset val="134"/>
      </rPr>
      <t>饰品加成</t>
    </r>
    <phoneticPr fontId="2" type="noConversion"/>
  </si>
  <si>
    <r>
      <rPr>
        <sz val="18"/>
        <color theme="0" tint="-0.34998626667073579"/>
        <rFont val="宋体"/>
        <family val="1"/>
        <charset val="134"/>
      </rPr>
      <t>参考配装，默认专武为满级</t>
    </r>
    <phoneticPr fontId="2" type="noConversion"/>
  </si>
  <si>
    <r>
      <t>[</t>
    </r>
    <r>
      <rPr>
        <sz val="18"/>
        <color theme="0" tint="-0.34998626667073579"/>
        <rFont val="宋体"/>
        <family val="1"/>
        <charset val="134"/>
      </rPr>
      <t>对</t>
    </r>
    <r>
      <rPr>
        <sz val="18"/>
        <color theme="0" tint="-0.34998626667073579"/>
        <rFont val="Times New Roman"/>
        <family val="1"/>
      </rPr>
      <t>HP+]</t>
    </r>
    <r>
      <rPr>
        <sz val="18"/>
        <color theme="0" tint="-0.34998626667073579"/>
        <rFont val="宋体"/>
        <family val="1"/>
        <charset val="134"/>
      </rPr>
      <t>最优配装</t>
    </r>
    <phoneticPr fontId="2" type="noConversion"/>
  </si>
  <si>
    <r>
      <t>[</t>
    </r>
    <r>
      <rPr>
        <sz val="18"/>
        <color theme="0" tint="-0.34998626667073579"/>
        <rFont val="宋体"/>
        <family val="1"/>
        <charset val="134"/>
      </rPr>
      <t>对</t>
    </r>
    <r>
      <rPr>
        <sz val="18"/>
        <color theme="0" tint="-0.34998626667073579"/>
        <rFont val="Times New Roman"/>
        <family val="1"/>
      </rPr>
      <t>DP+]</t>
    </r>
    <r>
      <rPr>
        <sz val="18"/>
        <color theme="0" tint="-0.34998626667073579"/>
        <rFont val="宋体"/>
        <family val="1"/>
        <charset val="134"/>
      </rPr>
      <t>最优配装</t>
    </r>
    <phoneticPr fontId="2" type="noConversion"/>
  </si>
  <si>
    <r>
      <rPr>
        <sz val="18"/>
        <color theme="0" tint="-0.34998626667073579"/>
        <rFont val="宋体"/>
        <family val="1"/>
        <charset val="134"/>
      </rPr>
      <t>智力依存最优配装</t>
    </r>
    <phoneticPr fontId="2" type="noConversion"/>
  </si>
  <si>
    <r>
      <rPr>
        <sz val="18"/>
        <color theme="0" tint="-0.34998626667073579"/>
        <rFont val="宋体"/>
        <family val="1"/>
        <charset val="134"/>
      </rPr>
      <t>体力依存最优配装</t>
    </r>
    <phoneticPr fontId="2" type="noConversion"/>
  </si>
  <si>
    <r>
      <rPr>
        <sz val="18"/>
        <color theme="0" tint="-0.34998626667073579"/>
        <rFont val="宋体"/>
        <family val="1"/>
        <charset val="134"/>
      </rPr>
      <t>精神</t>
    </r>
    <r>
      <rPr>
        <sz val="18"/>
        <color theme="0" tint="-0.34998626667073579"/>
        <rFont val="Times New Roman"/>
        <family val="1"/>
      </rPr>
      <t>max</t>
    </r>
    <r>
      <rPr>
        <sz val="18"/>
        <color theme="0" tint="-0.34998626667073579"/>
        <rFont val="宋体"/>
        <family val="1"/>
        <charset val="134"/>
      </rPr>
      <t>最优配装</t>
    </r>
    <phoneticPr fontId="2" type="noConversion"/>
  </si>
  <si>
    <r>
      <rPr>
        <sz val="18"/>
        <color theme="0" tint="-0.34998626667073579"/>
        <rFont val="宋体"/>
        <family val="1"/>
        <charset val="134"/>
      </rPr>
      <t>脆弱最优，但红晶片用完了</t>
    </r>
    <phoneticPr fontId="2" type="noConversion"/>
  </si>
  <si>
    <r>
      <rPr>
        <sz val="18"/>
        <color theme="0" tint="-0.34998626667073579"/>
        <rFont val="宋体"/>
        <family val="1"/>
        <charset val="134"/>
      </rPr>
      <t>减防最优，但红晶片用完了</t>
    </r>
    <phoneticPr fontId="2" type="noConversion"/>
  </si>
  <si>
    <r>
      <rPr>
        <sz val="18"/>
        <color theme="4"/>
        <rFont val="宋体"/>
        <family val="1"/>
        <charset val="134"/>
      </rPr>
      <t>合计值</t>
    </r>
    <r>
      <rPr>
        <sz val="18"/>
        <color theme="4"/>
        <rFont val="Times New Roman"/>
        <family val="1"/>
      </rPr>
      <t>-</t>
    </r>
    <r>
      <rPr>
        <sz val="18"/>
        <color theme="4"/>
        <rFont val="宋体"/>
        <family val="1"/>
        <charset val="134"/>
      </rPr>
      <t>修正行</t>
    </r>
    <phoneticPr fontId="2" type="noConversion"/>
  </si>
  <si>
    <r>
      <rPr>
        <sz val="18"/>
        <color theme="1"/>
        <rFont val="宋体"/>
        <family val="1"/>
        <charset val="134"/>
      </rPr>
      <t>灵魂（专武）</t>
    </r>
    <r>
      <rPr>
        <sz val="18"/>
        <color theme="1"/>
        <rFont val="Times New Roman"/>
        <family val="1"/>
      </rPr>
      <t>+</t>
    </r>
    <r>
      <rPr>
        <sz val="18"/>
        <color theme="1"/>
        <rFont val="宋体"/>
        <family val="1"/>
        <charset val="134"/>
      </rPr>
      <t>值</t>
    </r>
    <phoneticPr fontId="2" type="noConversion"/>
  </si>
  <si>
    <r>
      <rPr>
        <sz val="18"/>
        <color theme="0" tint="-0.499984740745262"/>
        <rFont val="宋体"/>
        <family val="1"/>
        <charset val="134"/>
      </rPr>
      <t>请输入</t>
    </r>
    <r>
      <rPr>
        <sz val="18"/>
        <color theme="0" tint="-0.499984740745262"/>
        <rFont val="Times New Roman"/>
        <family val="1"/>
      </rPr>
      <t>0-5</t>
    </r>
    <phoneticPr fontId="2" type="noConversion"/>
  </si>
  <si>
    <r>
      <rPr>
        <sz val="18"/>
        <color theme="4"/>
        <rFont val="宋体"/>
        <family val="1"/>
        <charset val="134"/>
      </rPr>
      <t>参考配装，默认专武为</t>
    </r>
    <r>
      <rPr>
        <sz val="18"/>
        <color theme="4"/>
        <rFont val="Times New Roman"/>
        <family val="1"/>
      </rPr>
      <t>0</t>
    </r>
    <r>
      <rPr>
        <sz val="18"/>
        <color theme="4"/>
        <rFont val="宋体"/>
        <family val="1"/>
        <charset val="134"/>
      </rPr>
      <t>级</t>
    </r>
    <phoneticPr fontId="2" type="noConversion"/>
  </si>
  <si>
    <r>
      <t>0</t>
    </r>
    <r>
      <rPr>
        <sz val="18"/>
        <color theme="0" tint="-0.499984740745262"/>
        <rFont val="宋体"/>
        <family val="1"/>
        <charset val="134"/>
      </rPr>
      <t>或</t>
    </r>
    <r>
      <rPr>
        <sz val="18"/>
        <color theme="0" tint="-0.499984740745262"/>
        <rFont val="Times New Roman"/>
        <family val="1"/>
      </rPr>
      <t>48</t>
    </r>
    <phoneticPr fontId="2" type="noConversion"/>
  </si>
  <si>
    <r>
      <rPr>
        <sz val="18"/>
        <color theme="4"/>
        <rFont val="宋体"/>
        <family val="1"/>
        <charset val="134"/>
      </rPr>
      <t>裸装</t>
    </r>
    <phoneticPr fontId="2" type="noConversion"/>
  </si>
  <si>
    <r>
      <rPr>
        <sz val="18"/>
        <color theme="4"/>
        <rFont val="宋体"/>
        <family val="1"/>
        <charset val="134"/>
      </rPr>
      <t>减防最优配装</t>
    </r>
    <phoneticPr fontId="2" type="noConversion"/>
  </si>
  <si>
    <r>
      <rPr>
        <sz val="18"/>
        <color theme="4"/>
        <rFont val="宋体"/>
        <family val="1"/>
        <charset val="134"/>
      </rPr>
      <t>脆弱最优配装</t>
    </r>
    <phoneticPr fontId="2" type="noConversion"/>
  </si>
  <si>
    <r>
      <rPr>
        <sz val="18"/>
        <color theme="4"/>
        <rFont val="宋体"/>
        <family val="1"/>
        <charset val="134"/>
      </rPr>
      <t>无偏向攻击最优配装</t>
    </r>
    <phoneticPr fontId="2" type="noConversion"/>
  </si>
  <si>
    <r>
      <rPr>
        <sz val="18"/>
        <color theme="0" tint="-0.34998626667073579"/>
        <rFont val="宋体"/>
        <family val="1"/>
        <charset val="134"/>
      </rPr>
      <t>脆弱最优配装</t>
    </r>
    <phoneticPr fontId="2" type="noConversion"/>
  </si>
  <si>
    <r>
      <rPr>
        <sz val="18"/>
        <color theme="0" tint="-0.34998626667073579"/>
        <rFont val="宋体"/>
        <family val="1"/>
        <charset val="134"/>
      </rPr>
      <t>减防最优配装</t>
    </r>
    <phoneticPr fontId="2" type="noConversion"/>
  </si>
  <si>
    <r>
      <rPr>
        <sz val="18"/>
        <color theme="0" tint="-0.34998626667073579"/>
        <rFont val="宋体"/>
        <family val="1"/>
        <charset val="134"/>
      </rPr>
      <t>无偏向最优配装</t>
    </r>
    <phoneticPr fontId="2" type="noConversion"/>
  </si>
  <si>
    <t>OutPut3</t>
    <phoneticPr fontId="2" type="noConversion"/>
  </si>
  <si>
    <r>
      <t>HP</t>
    </r>
    <r>
      <rPr>
        <sz val="18"/>
        <color theme="1"/>
        <rFont val="宋体"/>
        <family val="1"/>
        <charset val="134"/>
      </rPr>
      <t>偏有效值</t>
    </r>
    <phoneticPr fontId="2" type="noConversion"/>
  </si>
  <si>
    <r>
      <t>DP</t>
    </r>
    <r>
      <rPr>
        <sz val="18"/>
        <color theme="1"/>
        <rFont val="宋体"/>
        <family val="1"/>
        <charset val="134"/>
      </rPr>
      <t>偏有效值</t>
    </r>
    <phoneticPr fontId="2" type="noConversion"/>
  </si>
  <si>
    <r>
      <rPr>
        <sz val="18"/>
        <color theme="1"/>
        <rFont val="宋体"/>
        <family val="2"/>
        <charset val="134"/>
      </rPr>
      <t>共鸣</t>
    </r>
    <phoneticPr fontId="2" type="noConversion"/>
  </si>
  <si>
    <r>
      <rPr>
        <sz val="18"/>
        <color theme="0" tint="-0.499984740745262"/>
        <rFont val="宋体"/>
        <family val="1"/>
        <charset val="134"/>
      </rPr>
      <t>请选择预设配装，或选择</t>
    </r>
    <r>
      <rPr>
        <sz val="18"/>
        <color theme="0" tint="-0.499984740745262"/>
        <rFont val="Times New Roman"/>
        <family val="1"/>
      </rPr>
      <t>“</t>
    </r>
    <r>
      <rPr>
        <sz val="18"/>
        <color theme="0" tint="-0.499984740745262"/>
        <rFont val="宋体"/>
        <family val="1"/>
        <charset val="134"/>
      </rPr>
      <t>裸装</t>
    </r>
    <r>
      <rPr>
        <sz val="18"/>
        <color theme="0" tint="-0.499984740745262"/>
        <rFont val="Times New Roman"/>
        <family val="1"/>
      </rPr>
      <t>”</t>
    </r>
    <r>
      <rPr>
        <sz val="18"/>
        <color theme="0" tint="-0.499984740745262"/>
        <rFont val="宋体"/>
        <family val="1"/>
        <charset val="134"/>
      </rPr>
      <t>后在下方修正行手动输入配装加成</t>
    </r>
    <phoneticPr fontId="2" type="noConversion"/>
  </si>
  <si>
    <r>
      <rPr>
        <sz val="18"/>
        <color theme="1"/>
        <rFont val="宋体"/>
        <family val="1"/>
        <charset val="134"/>
      </rPr>
      <t>坠链运气加成</t>
    </r>
    <phoneticPr fontId="2" type="noConversion"/>
  </si>
  <si>
    <r>
      <rPr>
        <sz val="18"/>
        <color theme="5"/>
        <rFont val="宋体"/>
        <family val="1"/>
        <charset val="134"/>
      </rPr>
      <t>若选择</t>
    </r>
    <r>
      <rPr>
        <sz val="18"/>
        <color theme="5"/>
        <rFont val="Times New Roman"/>
        <family val="1"/>
      </rPr>
      <t>“</t>
    </r>
    <r>
      <rPr>
        <sz val="18"/>
        <color theme="5"/>
        <rFont val="宋体"/>
        <family val="1"/>
        <charset val="134"/>
      </rPr>
      <t>裸装</t>
    </r>
    <r>
      <rPr>
        <sz val="18"/>
        <color theme="5"/>
        <rFont val="Times New Roman"/>
        <family val="1"/>
      </rPr>
      <t>”</t>
    </r>
    <r>
      <rPr>
        <sz val="18"/>
        <color theme="5"/>
        <rFont val="宋体"/>
        <family val="1"/>
        <charset val="134"/>
      </rPr>
      <t>，本行将失效</t>
    </r>
    <phoneticPr fontId="2" type="noConversion"/>
  </si>
  <si>
    <r>
      <rPr>
        <sz val="18"/>
        <color theme="1"/>
        <rFont val="宋体"/>
        <family val="1"/>
        <charset val="134"/>
      </rPr>
      <t>无偏有效值</t>
    </r>
    <phoneticPr fontId="2" type="noConversion"/>
  </si>
  <si>
    <r>
      <rPr>
        <sz val="18"/>
        <color theme="1"/>
        <rFont val="宋体"/>
        <family val="1"/>
        <charset val="134"/>
      </rPr>
      <t>减防有效值</t>
    </r>
    <phoneticPr fontId="2" type="noConversion"/>
  </si>
  <si>
    <r>
      <rPr>
        <sz val="18"/>
        <color theme="1"/>
        <rFont val="宋体"/>
        <family val="1"/>
        <charset val="134"/>
      </rPr>
      <t>脆弱有效值</t>
    </r>
    <phoneticPr fontId="2" type="noConversion"/>
  </si>
  <si>
    <r>
      <rPr>
        <sz val="18"/>
        <color theme="0" tint="-0.499984740745262"/>
        <rFont val="宋体"/>
        <family val="1"/>
        <charset val="134"/>
      </rPr>
      <t>请输入</t>
    </r>
    <r>
      <rPr>
        <sz val="18"/>
        <color theme="0" tint="-0.499984740745262"/>
        <rFont val="Times New Roman"/>
        <family val="1"/>
      </rPr>
      <t>1-15</t>
    </r>
    <phoneticPr fontId="2" type="noConversion"/>
  </si>
  <si>
    <t>力器型</t>
    <phoneticPr fontId="2" type="noConversion"/>
  </si>
  <si>
    <r>
      <t>*</t>
    </r>
    <r>
      <rPr>
        <sz val="18"/>
        <color rgb="FFFF0000"/>
        <rFont val="宋体"/>
        <family val="1"/>
        <charset val="134"/>
      </rPr>
      <t>手冢</t>
    </r>
    <r>
      <rPr>
        <sz val="18"/>
        <color rgb="FFFF0000"/>
        <rFont val="Times New Roman"/>
        <family val="1"/>
      </rPr>
      <t xml:space="preserve"> </t>
    </r>
    <r>
      <rPr>
        <sz val="18"/>
        <color rgb="FFFF0000"/>
        <rFont val="宋体"/>
        <family val="1"/>
        <charset val="134"/>
      </rPr>
      <t>咲</t>
    </r>
    <phoneticPr fontId="2" type="noConversion"/>
  </si>
  <si>
    <r>
      <t>*</t>
    </r>
    <r>
      <rPr>
        <sz val="18"/>
        <color rgb="FFFF0000"/>
        <rFont val="宋体"/>
        <family val="1"/>
        <charset val="134"/>
      </rPr>
      <t>浅见</t>
    </r>
    <r>
      <rPr>
        <sz val="18"/>
        <color rgb="FFFF0000"/>
        <rFont val="Times New Roman"/>
        <family val="1"/>
      </rPr>
      <t xml:space="preserve"> </t>
    </r>
    <r>
      <rPr>
        <sz val="18"/>
        <color rgb="FFFF0000"/>
        <rFont val="宋体"/>
        <family val="1"/>
        <charset val="134"/>
      </rPr>
      <t>真纪子</t>
    </r>
    <phoneticPr fontId="2" type="noConversion"/>
  </si>
  <si>
    <t>支援</t>
    <phoneticPr fontId="2" type="noConversion"/>
  </si>
  <si>
    <t>力器偏向</t>
    <phoneticPr fontId="2" type="noConversion"/>
  </si>
  <si>
    <r>
      <rPr>
        <sz val="18"/>
        <color rgb="FFFF0000"/>
        <rFont val="宋体"/>
        <family val="1"/>
        <charset val="134"/>
      </rPr>
      <t>说明：默认</t>
    </r>
    <r>
      <rPr>
        <sz val="18"/>
        <color rgb="FFFF0000"/>
        <rFont val="Times New Roman"/>
        <family val="1"/>
      </rPr>
      <t>A-S</t>
    </r>
    <r>
      <rPr>
        <sz val="18"/>
        <color rgb="FFFF0000"/>
        <rFont val="宋体"/>
        <family val="1"/>
        <charset val="134"/>
      </rPr>
      <t>战术型态全持有且满破满强化，若不符合条件请在基础值修正行中手动修正</t>
    </r>
    <phoneticPr fontId="2" type="noConversion"/>
  </si>
  <si>
    <r>
      <rPr>
        <sz val="18"/>
        <color theme="0" tint="-0.499984740745262"/>
        <rFont val="宋体"/>
        <family val="1"/>
        <charset val="134"/>
      </rPr>
      <t>力体型输入</t>
    </r>
    <r>
      <rPr>
        <sz val="18"/>
        <color theme="0" tint="-0.499984740745262"/>
        <rFont val="Times New Roman"/>
        <family val="1"/>
      </rPr>
      <t>1</t>
    </r>
    <r>
      <rPr>
        <sz val="18"/>
        <color theme="0" tint="-0.499984740745262"/>
        <rFont val="宋体"/>
        <family val="1"/>
        <charset val="134"/>
      </rPr>
      <t>，器运型输入</t>
    </r>
    <r>
      <rPr>
        <sz val="18"/>
        <color theme="0" tint="-0.499984740745262"/>
        <rFont val="Times New Roman"/>
        <family val="1"/>
      </rPr>
      <t>2</t>
    </r>
    <r>
      <rPr>
        <sz val="18"/>
        <color theme="0" tint="-0.499984740745262"/>
        <rFont val="宋体"/>
        <family val="1"/>
        <charset val="134"/>
      </rPr>
      <t>，智精型输入</t>
    </r>
    <r>
      <rPr>
        <sz val="18"/>
        <color theme="0" tint="-0.499984740745262"/>
        <rFont val="Times New Roman"/>
        <family val="1"/>
      </rPr>
      <t>3</t>
    </r>
    <r>
      <rPr>
        <sz val="18"/>
        <color theme="0" tint="-0.499984740745262"/>
        <rFont val="宋体"/>
        <family val="1"/>
        <charset val="134"/>
      </rPr>
      <t>，力器型输入</t>
    </r>
    <r>
      <rPr>
        <sz val="18"/>
        <color theme="0" tint="-0.499984740745262"/>
        <rFont val="Times New Roman"/>
        <family val="1"/>
      </rPr>
      <t>4</t>
    </r>
    <phoneticPr fontId="2" type="noConversion"/>
  </si>
  <si>
    <r>
      <rPr>
        <sz val="18"/>
        <color theme="0" tint="-0.499984740745262"/>
        <rFont val="宋体"/>
        <family val="1"/>
        <charset val="134"/>
      </rPr>
      <t>请在</t>
    </r>
    <r>
      <rPr>
        <sz val="18"/>
        <color theme="0" tint="-0.499984740745262"/>
        <rFont val="Times New Roman"/>
        <family val="1"/>
      </rPr>
      <t>SS</t>
    </r>
    <r>
      <rPr>
        <sz val="18"/>
        <color theme="0" tint="-0.499984740745262"/>
        <rFont val="宋体"/>
        <family val="1"/>
        <charset val="134"/>
      </rPr>
      <t>偏向统计中查询强化偏向</t>
    </r>
    <phoneticPr fontId="2" type="noConversion"/>
  </si>
  <si>
    <t>强化偏向</t>
    <phoneticPr fontId="2" type="noConversion"/>
  </si>
  <si>
    <r>
      <rPr>
        <sz val="18"/>
        <color theme="5"/>
        <rFont val="宋体"/>
        <family val="3"/>
        <charset val="134"/>
      </rPr>
      <t>注
除</t>
    </r>
    <r>
      <rPr>
        <sz val="18"/>
        <color theme="5"/>
        <rFont val="Times New Roman"/>
        <family val="1"/>
      </rPr>
      <t>“[</t>
    </r>
    <r>
      <rPr>
        <sz val="18"/>
        <color theme="5"/>
        <rFont val="宋体"/>
        <family val="3"/>
        <charset val="134"/>
      </rPr>
      <t>对</t>
    </r>
    <r>
      <rPr>
        <sz val="18"/>
        <color theme="5"/>
        <rFont val="Times New Roman"/>
        <family val="1"/>
      </rPr>
      <t>DP+]</t>
    </r>
    <r>
      <rPr>
        <sz val="18"/>
        <color theme="5"/>
        <rFont val="宋体"/>
        <family val="3"/>
        <charset val="134"/>
      </rPr>
      <t>最优配装</t>
    </r>
    <r>
      <rPr>
        <sz val="18"/>
        <color theme="5"/>
        <rFont val="Times New Roman"/>
        <family val="1"/>
      </rPr>
      <t>”</t>
    </r>
    <r>
      <rPr>
        <sz val="18"/>
        <color theme="5"/>
        <rFont val="宋体"/>
        <family val="3"/>
        <charset val="134"/>
      </rPr>
      <t>外，戒指默认为力量偏向
除</t>
    </r>
    <r>
      <rPr>
        <sz val="18"/>
        <color theme="5"/>
        <rFont val="Times New Roman"/>
        <family val="1"/>
      </rPr>
      <t>“</t>
    </r>
    <r>
      <rPr>
        <sz val="18"/>
        <color theme="5"/>
        <rFont val="宋体"/>
        <family val="3"/>
        <charset val="134"/>
      </rPr>
      <t>脆弱最优配装</t>
    </r>
    <r>
      <rPr>
        <sz val="18"/>
        <color theme="5"/>
        <rFont val="Times New Roman"/>
        <family val="1"/>
      </rPr>
      <t>”</t>
    </r>
    <r>
      <rPr>
        <sz val="18"/>
        <color theme="5"/>
        <rFont val="宋体"/>
        <family val="3"/>
        <charset val="134"/>
      </rPr>
      <t>及</t>
    </r>
    <r>
      <rPr>
        <sz val="18"/>
        <color theme="5"/>
        <rFont val="Times New Roman"/>
        <family val="1"/>
      </rPr>
      <t>“</t>
    </r>
    <r>
      <rPr>
        <sz val="18"/>
        <color theme="5"/>
        <rFont val="宋体"/>
        <family val="3"/>
        <charset val="134"/>
      </rPr>
      <t>脆弱最优，但红晶片用完了</t>
    </r>
    <r>
      <rPr>
        <sz val="18"/>
        <color theme="5"/>
        <rFont val="Times New Roman"/>
        <family val="1"/>
      </rPr>
      <t>”</t>
    </r>
    <r>
      <rPr>
        <sz val="18"/>
        <color theme="5"/>
        <rFont val="宋体"/>
        <family val="3"/>
        <charset val="134"/>
      </rPr>
      <t>外，戒指额外词条默认为智力</t>
    </r>
    <phoneticPr fontId="2" type="noConversion"/>
  </si>
  <si>
    <r>
      <rPr>
        <sz val="18"/>
        <rFont val="宋体"/>
        <family val="1"/>
        <charset val="134"/>
      </rPr>
      <t>力体型</t>
    </r>
    <phoneticPr fontId="2" type="noConversion"/>
  </si>
  <si>
    <r>
      <rPr>
        <sz val="18"/>
        <rFont val="宋体"/>
        <family val="1"/>
        <charset val="134"/>
      </rPr>
      <t>器运型</t>
    </r>
    <phoneticPr fontId="2" type="noConversion"/>
  </si>
  <si>
    <r>
      <rPr>
        <sz val="18"/>
        <rFont val="宋体"/>
        <family val="1"/>
        <charset val="134"/>
      </rPr>
      <t>智精型</t>
    </r>
    <phoneticPr fontId="2" type="noConversion"/>
  </si>
  <si>
    <r>
      <rPr>
        <sz val="18"/>
        <rFont val="宋体"/>
        <family val="1"/>
        <charset val="134"/>
      </rPr>
      <t>力器型</t>
    </r>
    <phoneticPr fontId="2" type="noConversion"/>
  </si>
  <si>
    <r>
      <rPr>
        <sz val="18"/>
        <color theme="1"/>
        <rFont val="宋体"/>
        <family val="1"/>
        <charset val="134"/>
      </rPr>
      <t>备注</t>
    </r>
    <phoneticPr fontId="2" type="noConversion"/>
  </si>
  <si>
    <r>
      <rPr>
        <sz val="18"/>
        <color theme="1"/>
        <rFont val="宋体"/>
        <family val="1"/>
        <charset val="134"/>
      </rPr>
      <t>双人格齐奏为力器型</t>
    </r>
    <phoneticPr fontId="2" type="noConversion"/>
  </si>
  <si>
    <r>
      <rPr>
        <sz val="18"/>
        <color theme="1"/>
        <rFont val="宋体"/>
        <family val="1"/>
        <charset val="134"/>
      </rPr>
      <t>雷皮为力体型</t>
    </r>
    <phoneticPr fontId="2" type="noConversion"/>
  </si>
  <si>
    <r>
      <rPr>
        <sz val="18"/>
        <color theme="1"/>
        <rFont val="宋体"/>
        <family val="1"/>
        <charset val="134"/>
      </rPr>
      <t>棒球皮为智精型</t>
    </r>
    <phoneticPr fontId="2" type="noConversion"/>
  </si>
  <si>
    <r>
      <rPr>
        <sz val="18"/>
        <color theme="1"/>
        <rFont val="宋体"/>
        <family val="1"/>
        <charset val="134"/>
      </rPr>
      <t>原皮及万圣皮为器运型</t>
    </r>
    <phoneticPr fontId="2" type="noConversion"/>
  </si>
  <si>
    <r>
      <rPr>
        <sz val="18"/>
        <color theme="1"/>
        <rFont val="宋体"/>
        <family val="1"/>
        <charset val="134"/>
      </rPr>
      <t>红梢为智精型，暗梢为力体型</t>
    </r>
    <phoneticPr fontId="2" type="noConversion"/>
  </si>
  <si>
    <r>
      <rPr>
        <sz val="18"/>
        <color theme="1"/>
        <rFont val="宋体"/>
        <family val="1"/>
        <charset val="134"/>
      </rPr>
      <t>冰美也为智精型</t>
    </r>
    <phoneticPr fontId="2" type="noConversion"/>
  </si>
  <si>
    <r>
      <rPr>
        <sz val="18"/>
        <color theme="1"/>
        <rFont val="宋体"/>
        <family val="1"/>
        <charset val="134"/>
      </rPr>
      <t>光暗皮为力体型</t>
    </r>
    <phoneticPr fontId="2" type="noConversion"/>
  </si>
  <si>
    <r>
      <rPr>
        <sz val="18"/>
        <color theme="1"/>
        <rFont val="宋体"/>
        <family val="1"/>
        <charset val="134"/>
      </rPr>
      <t>暗皮为力体型</t>
    </r>
    <phoneticPr fontId="2" type="noConversion"/>
  </si>
  <si>
    <r>
      <rPr>
        <sz val="18"/>
        <color theme="1"/>
        <rFont val="宋体"/>
        <family val="1"/>
        <charset val="134"/>
      </rPr>
      <t>火皮为力体型</t>
    </r>
    <phoneticPr fontId="2" type="noConversion"/>
  </si>
  <si>
    <r>
      <rPr>
        <sz val="18"/>
        <color theme="1"/>
        <rFont val="宋体"/>
        <family val="1"/>
        <charset val="134"/>
      </rPr>
      <t>魔兽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family val="1"/>
        <charset val="134"/>
      </rPr>
      <t>智精型</t>
    </r>
    <phoneticPr fontId="2" type="noConversion"/>
  </si>
  <si>
    <r>
      <rPr>
        <sz val="18"/>
        <color theme="1"/>
        <rFont val="宋体"/>
        <family val="1"/>
        <charset val="134"/>
      </rPr>
      <t>原皮为器运型</t>
    </r>
    <phoneticPr fontId="2" type="noConversion"/>
  </si>
  <si>
    <r>
      <rPr>
        <sz val="18"/>
        <color theme="1"/>
        <rFont val="宋体"/>
        <family val="1"/>
        <charset val="134"/>
      </rPr>
      <t>原皮为力体型</t>
    </r>
    <phoneticPr fontId="2" type="noConversion"/>
  </si>
  <si>
    <r>
      <rPr>
        <sz val="18"/>
        <color theme="1"/>
        <rFont val="宋体"/>
        <family val="1"/>
        <charset val="134"/>
      </rPr>
      <t>火皮为智精型</t>
    </r>
    <phoneticPr fontId="2" type="noConversion"/>
  </si>
  <si>
    <r>
      <rPr>
        <sz val="18"/>
        <color theme="1"/>
        <rFont val="宋体"/>
        <family val="1"/>
        <charset val="134"/>
      </rPr>
      <t>婚皮为力体型</t>
    </r>
    <phoneticPr fontId="2" type="noConversion"/>
  </si>
  <si>
    <r>
      <rPr>
        <sz val="18"/>
        <color theme="1"/>
        <rFont val="宋体"/>
        <family val="1"/>
        <charset val="134"/>
      </rPr>
      <t>原皮为力体型，光皮为器运型</t>
    </r>
    <phoneticPr fontId="2" type="noConversion"/>
  </si>
  <si>
    <r>
      <rPr>
        <sz val="18"/>
        <color theme="1"/>
        <rFont val="宋体"/>
        <family val="1"/>
        <charset val="134"/>
      </rPr>
      <t>光皮为力体型，雷皮为智精型</t>
    </r>
    <phoneticPr fontId="2" type="noConversion"/>
  </si>
  <si>
    <r>
      <rPr>
        <sz val="18"/>
        <color theme="1"/>
        <rFont val="宋体"/>
        <family val="1"/>
        <charset val="134"/>
      </rPr>
      <t>花田皮为智精型，迷雾为力体型</t>
    </r>
    <phoneticPr fontId="2" type="noConversion"/>
  </si>
  <si>
    <r>
      <rPr>
        <sz val="18"/>
        <color theme="1"/>
        <rFont val="宋体"/>
        <family val="1"/>
        <charset val="134"/>
      </rPr>
      <t>花嫁皮与火皮为智精型</t>
    </r>
    <phoneticPr fontId="2" type="noConversion"/>
  </si>
  <si>
    <r>
      <rPr>
        <sz val="18"/>
        <color theme="1"/>
        <rFont val="宋体"/>
        <family val="1"/>
        <charset val="134"/>
      </rPr>
      <t>冰皮为器运型</t>
    </r>
    <phoneticPr fontId="2" type="noConversion"/>
  </si>
  <si>
    <r>
      <rPr>
        <sz val="18"/>
        <color theme="1"/>
        <rFont val="宋体"/>
        <family val="1"/>
        <charset val="134"/>
      </rPr>
      <t>闪光为特殊力体型；</t>
    </r>
    <r>
      <rPr>
        <sz val="18"/>
        <color theme="1"/>
        <rFont val="Times New Roman"/>
        <family val="1"/>
      </rPr>
      <t>diva</t>
    </r>
    <r>
      <rPr>
        <sz val="18"/>
        <color theme="1"/>
        <rFont val="宋体"/>
        <family val="1"/>
        <charset val="134"/>
      </rPr>
      <t>和冰为智精型</t>
    </r>
    <phoneticPr fontId="2" type="noConversion"/>
  </si>
  <si>
    <r>
      <t>ADM</t>
    </r>
    <r>
      <rPr>
        <sz val="18"/>
        <color theme="1"/>
        <rFont val="宋体"/>
        <family val="1"/>
        <charset val="134"/>
      </rPr>
      <t>智精型</t>
    </r>
    <phoneticPr fontId="2" type="noConversion"/>
  </si>
  <si>
    <r>
      <rPr>
        <sz val="18"/>
        <color theme="1"/>
        <rFont val="宋体"/>
        <family val="1"/>
        <charset val="134"/>
      </rPr>
      <t>原皮，雷皮，齐奏皮为智精型</t>
    </r>
    <phoneticPr fontId="2" type="noConversion"/>
  </si>
  <si>
    <r>
      <rPr>
        <sz val="18"/>
        <color theme="1"/>
        <rFont val="宋体"/>
        <family val="1"/>
        <charset val="134"/>
      </rPr>
      <t>白送的器运型</t>
    </r>
    <phoneticPr fontId="2" type="noConversion"/>
  </si>
  <si>
    <r>
      <rPr>
        <sz val="18"/>
        <color theme="1"/>
        <rFont val="宋体"/>
        <family val="1"/>
        <charset val="134"/>
      </rPr>
      <t>火皮，</t>
    </r>
    <r>
      <rPr>
        <sz val="18"/>
        <color theme="1"/>
        <rFont val="Times New Roman"/>
        <family val="1"/>
      </rPr>
      <t>ADM</t>
    </r>
    <r>
      <rPr>
        <sz val="18"/>
        <color theme="1"/>
        <rFont val="宋体"/>
        <family val="1"/>
        <charset val="134"/>
      </rPr>
      <t>为智精型</t>
    </r>
    <phoneticPr fontId="2" type="noConversion"/>
  </si>
  <si>
    <r>
      <rPr>
        <sz val="18"/>
        <color theme="1"/>
        <rFont val="宋体"/>
        <family val="1"/>
        <charset val="134"/>
      </rPr>
      <t>冰火皮为智精型，暗皮为力体型</t>
    </r>
    <phoneticPr fontId="2" type="noConversion"/>
  </si>
  <si>
    <r>
      <rPr>
        <sz val="18"/>
        <color theme="1"/>
        <rFont val="宋体"/>
        <family val="1"/>
        <charset val="134"/>
      </rPr>
      <t>火皮和预制菜为智精型</t>
    </r>
    <phoneticPr fontId="2" type="noConversion"/>
  </si>
  <si>
    <r>
      <rPr>
        <sz val="18"/>
        <color theme="1"/>
        <rFont val="宋体"/>
        <family val="1"/>
        <charset val="134"/>
      </rPr>
      <t>光皮智精型</t>
    </r>
    <phoneticPr fontId="2" type="noConversion"/>
  </si>
  <si>
    <r>
      <rPr>
        <sz val="18"/>
        <color theme="1"/>
        <rFont val="宋体"/>
        <family val="1"/>
        <charset val="134"/>
      </rPr>
      <t>雷皮为器运型，女帝为智精型</t>
    </r>
    <phoneticPr fontId="2" type="noConversion"/>
  </si>
  <si>
    <t>暗皮为器运型</t>
    <phoneticPr fontId="2" type="noConversion"/>
  </si>
  <si>
    <t>BaseParameter.Character.EmaB</t>
  </si>
  <si>
    <t>BaseParameter.Character.EmaB</t>
    <phoneticPr fontId="2" type="noConversion"/>
  </si>
  <si>
    <t>MONA</t>
  </si>
  <si>
    <t>MONA</t>
    <phoneticPr fontId="2" type="noConversion"/>
  </si>
  <si>
    <t>BaseParameter.Character.EmaC</t>
  </si>
  <si>
    <t>QUEEN</t>
  </si>
  <si>
    <t>QUEEN</t>
    <phoneticPr fontId="2" type="noConversion"/>
  </si>
  <si>
    <t>BaseParameter.Character.EmaD</t>
  </si>
  <si>
    <t>VIOLET</t>
  </si>
  <si>
    <t>VIOLET</t>
    <phoneticPr fontId="2" type="noConversion"/>
  </si>
  <si>
    <r>
      <rPr>
        <sz val="18"/>
        <color theme="0" tint="-0.499984740745262"/>
        <rFont val="宋体"/>
        <family val="1"/>
        <charset val="134"/>
      </rPr>
      <t>请输入</t>
    </r>
    <r>
      <rPr>
        <sz val="18"/>
        <color theme="0" tint="-0.499984740745262"/>
        <rFont val="Times New Roman"/>
        <family val="1"/>
      </rPr>
      <t>2-71</t>
    </r>
    <phoneticPr fontId="2" type="noConversion"/>
  </si>
  <si>
    <r>
      <rPr>
        <sz val="18"/>
        <color theme="1"/>
        <rFont val="宋体"/>
        <family val="1"/>
        <charset val="134"/>
      </rPr>
      <t>若缺少该角色</t>
    </r>
    <r>
      <rPr>
        <sz val="18"/>
        <color theme="1"/>
        <rFont val="Times New Roman"/>
        <family val="1"/>
      </rPr>
      <t>SS</t>
    </r>
    <r>
      <rPr>
        <sz val="18"/>
        <color theme="1"/>
        <rFont val="宋体"/>
        <family val="1"/>
        <charset val="134"/>
      </rPr>
      <t>战型
请输入缺少的数量：</t>
    </r>
    <phoneticPr fontId="2" type="noConversion"/>
  </si>
  <si>
    <t>[对HP+]最优配装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</si>
</sst>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8"/>
      <color theme="1"/>
      <name val="Times New Roman"/>
      <family val="2"/>
      <charset val="134"/>
    </font>
    <font>
      <sz val="18"/>
      <color theme="1"/>
      <name val="Times New Roman"/>
      <family val="1"/>
    </font>
    <font>
      <sz val="9"/>
      <name val="Times New Roman"/>
      <family val="2"/>
      <charset val="134"/>
    </font>
    <font>
      <sz val="18"/>
      <color theme="1"/>
      <name val="宋体"/>
      <family val="1"/>
      <charset val="134"/>
    </font>
    <font>
      <sz val="18"/>
      <color theme="1"/>
      <name val="Yu Gothic"/>
      <family val="1"/>
      <charset val="128"/>
    </font>
    <font>
      <sz val="18"/>
      <color rgb="FFFF0000"/>
      <name val="Times New Roman"/>
      <family val="1"/>
    </font>
    <font>
      <sz val="18"/>
      <color theme="1"/>
      <name val="宋体"/>
      <family val="3"/>
      <charset val="134"/>
    </font>
    <font>
      <sz val="18"/>
      <color theme="1"/>
      <name val="Yu Gothic"/>
      <family val="2"/>
      <charset val="128"/>
    </font>
    <font>
      <sz val="18"/>
      <color rgb="FFFF0000"/>
      <name val="宋体"/>
      <family val="3"/>
      <charset val="134"/>
    </font>
    <font>
      <sz val="18"/>
      <color theme="1"/>
      <name val="Times New Roman"/>
      <family val="1"/>
      <charset val="134"/>
    </font>
    <font>
      <sz val="18"/>
      <name val="Times New Roman"/>
      <family val="1"/>
    </font>
    <font>
      <sz val="18"/>
      <name val="宋体"/>
      <family val="3"/>
      <charset val="134"/>
    </font>
    <font>
      <sz val="18"/>
      <name val="Yu Gothic"/>
      <family val="2"/>
      <charset val="128"/>
    </font>
    <font>
      <sz val="18"/>
      <color theme="1"/>
      <name val="宋体"/>
      <family val="2"/>
      <charset val="134"/>
    </font>
    <font>
      <sz val="14"/>
      <color theme="1"/>
      <name val="Times New Roman"/>
      <family val="1"/>
    </font>
    <font>
      <sz val="18"/>
      <color rgb="FFFF0000"/>
      <name val="Times New Roman"/>
      <family val="1"/>
      <charset val="134"/>
    </font>
    <font>
      <sz val="18"/>
      <color rgb="FFFF0000"/>
      <name val="宋体"/>
      <family val="1"/>
      <charset val="134"/>
    </font>
    <font>
      <sz val="18"/>
      <color theme="1"/>
      <name val="Times New Roman"/>
      <family val="3"/>
      <charset val="134"/>
    </font>
    <font>
      <sz val="18"/>
      <color theme="0" tint="-0.499984740745262"/>
      <name val="Times New Roman"/>
      <family val="1"/>
    </font>
    <font>
      <sz val="18"/>
      <color theme="0" tint="-0.499984740745262"/>
      <name val="宋体"/>
      <family val="1"/>
      <charset val="134"/>
    </font>
    <font>
      <sz val="18"/>
      <color theme="4"/>
      <name val="Times New Roman"/>
      <family val="1"/>
    </font>
    <font>
      <sz val="18"/>
      <color theme="4"/>
      <name val="宋体"/>
      <family val="1"/>
      <charset val="134"/>
    </font>
    <font>
      <sz val="18"/>
      <color theme="0" tint="-0.499984740745262"/>
      <name val="宋体"/>
      <family val="3"/>
      <charset val="134"/>
    </font>
    <font>
      <sz val="18"/>
      <color theme="0" tint="-0.34998626667073579"/>
      <name val="Times New Roman"/>
      <family val="1"/>
    </font>
    <font>
      <sz val="18"/>
      <color theme="0" tint="-0.34998626667073579"/>
      <name val="宋体"/>
      <family val="1"/>
      <charset val="134"/>
    </font>
    <font>
      <sz val="18"/>
      <color theme="5"/>
      <name val="宋体"/>
      <family val="1"/>
      <charset val="134"/>
    </font>
    <font>
      <sz val="18"/>
      <color theme="5"/>
      <name val="Times New Roman"/>
      <family val="1"/>
    </font>
    <font>
      <sz val="18"/>
      <color theme="0" tint="-0.499984740745262"/>
      <name val="Times New Roman"/>
      <family val="1"/>
      <charset val="134"/>
    </font>
    <font>
      <b/>
      <sz val="18"/>
      <color theme="1"/>
      <name val="宋体"/>
      <family val="3"/>
      <charset val="134"/>
    </font>
    <font>
      <sz val="18"/>
      <name val="宋体"/>
      <family val="1"/>
      <charset val="134"/>
    </font>
    <font>
      <sz val="18"/>
      <color theme="5"/>
      <name val="宋体"/>
      <family val="3"/>
      <charset val="134"/>
    </font>
    <font>
      <sz val="18"/>
      <color theme="4" tint="0.3999755851924192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3" fillId="0" borderId="4" xfId="0" applyFont="1" applyBorder="1">
      <alignment vertical="center"/>
    </xf>
    <xf numFmtId="0" fontId="23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03175-9530-4E35-8098-BD7FA620C17C}">
  <dimension ref="A1:O46"/>
  <sheetViews>
    <sheetView tabSelected="1" zoomScale="70" zoomScaleNormal="70" workbookViewId="0">
      <pane ySplit="1" topLeftCell="A26" activePane="bottomLeft" state="frozen"/>
      <selection pane="bottomLeft" activeCell="Q1" sqref="Q1:Q1048576"/>
    </sheetView>
  </sheetViews>
  <sheetFormatPr defaultRowHeight="22.9"/>
  <cols>
    <col min="1" max="16384" width="8.6640625" style="1"/>
  </cols>
  <sheetData>
    <row r="1" spans="1:15">
      <c r="D1" s="1" t="s">
        <v>153</v>
      </c>
      <c r="E1" s="1" t="s">
        <v>154</v>
      </c>
      <c r="F1" s="1" t="s">
        <v>157</v>
      </c>
      <c r="G1" s="1" t="s">
        <v>84</v>
      </c>
      <c r="H1" s="1" t="s">
        <v>155</v>
      </c>
      <c r="I1" s="1" t="s">
        <v>156</v>
      </c>
    </row>
    <row r="2" spans="1:15" ht="22.9" customHeight="1">
      <c r="A2" s="27" t="s">
        <v>274</v>
      </c>
      <c r="B2" s="27"/>
      <c r="C2" s="27"/>
      <c r="D2" s="27"/>
      <c r="E2" s="27"/>
      <c r="F2" s="27"/>
      <c r="G2" s="27"/>
      <c r="H2" s="27"/>
      <c r="I2" s="27"/>
      <c r="J2" s="27"/>
      <c r="K2" s="37"/>
      <c r="L2" s="38"/>
      <c r="M2" s="38"/>
      <c r="N2" s="38"/>
      <c r="O2" s="38"/>
    </row>
    <row r="3" spans="1:15">
      <c r="A3" s="27"/>
      <c r="B3" s="27"/>
      <c r="C3" s="27"/>
      <c r="D3" s="27"/>
      <c r="E3" s="27"/>
      <c r="F3" s="27"/>
      <c r="G3" s="27"/>
      <c r="H3" s="27"/>
      <c r="I3" s="27"/>
      <c r="J3" s="27"/>
      <c r="K3" s="38"/>
      <c r="L3" s="38"/>
      <c r="M3" s="38"/>
      <c r="N3" s="38"/>
      <c r="O3" s="38"/>
    </row>
    <row r="4" spans="1:15" ht="23.25" thickBot="1"/>
    <row r="5" spans="1:15" ht="23.65" thickBot="1">
      <c r="C5" s="1" t="s">
        <v>0</v>
      </c>
      <c r="D5" s="7">
        <v>71</v>
      </c>
      <c r="E5" s="39" t="s">
        <v>323</v>
      </c>
      <c r="F5" s="31"/>
      <c r="G5" s="31" t="s">
        <v>234</v>
      </c>
      <c r="H5" s="31"/>
      <c r="I5" s="31"/>
      <c r="J5" s="31"/>
    </row>
    <row r="6" spans="1:15" ht="23.65" thickBot="1">
      <c r="C6" s="1" t="s">
        <v>1</v>
      </c>
      <c r="D6" s="33"/>
      <c r="E6" s="34"/>
      <c r="F6" s="13" t="s">
        <v>215</v>
      </c>
    </row>
    <row r="7" spans="1:15" hidden="1">
      <c r="D7" s="8" t="s">
        <v>162</v>
      </c>
      <c r="E7" s="8" t="s">
        <v>163</v>
      </c>
      <c r="F7" s="9" t="s">
        <v>164</v>
      </c>
      <c r="G7" s="9" t="s">
        <v>165</v>
      </c>
      <c r="H7" s="8" t="s">
        <v>170</v>
      </c>
      <c r="I7" s="8" t="s">
        <v>171</v>
      </c>
      <c r="J7" s="9" t="s">
        <v>172</v>
      </c>
      <c r="K7" s="9" t="s">
        <v>173</v>
      </c>
      <c r="L7" s="8" t="s">
        <v>166</v>
      </c>
      <c r="M7" s="8" t="s">
        <v>167</v>
      </c>
      <c r="N7" s="9" t="s">
        <v>168</v>
      </c>
      <c r="O7" s="9" t="s">
        <v>169</v>
      </c>
    </row>
    <row r="8" spans="1:15" hidden="1">
      <c r="D8" s="1" cm="1">
        <f t="array" ref="D8">_xlfn.SWITCH(D5,2,全角色白值成长!E2,3,全角色白值成长!E3,4,全角色白值成长!E4,5,全角色白值成长!E5,6,全角色白值成长!E6,7,全角色白值成长!E7,8,全角色白值成长!E8,9,全角色白值成长!E9,10,全角色白值成长!E10,11,全角色白值成长!E11,12,全角色白值成长!E12,13,全角色白值成长!E13,14,全角色白值成长!E14,15,全角色白值成长!E15,16,全角色白值成长!E16,17,全角色白值成长!E17,18,全角色白值成长!E18,19,全角色白值成长!E19,20,全角色白值成长!E20,21,全角色白值成长!E21,22,全角色白值成长!E22,23,全角色白值成长!E23,24,全角色白值成长!E24,25,全角色白值成长!E25,26,全角色白值成长!E26,27,全角色白值成长!E27,28,全角色白值成长!E28,29,全角色白值成长!E29,30,全角色白值成长!E30,31,全角色白值成长!E31,32,全角色白值成长!E32,33,全角色白值成长!E33,34,全角色白值成长!E34,35,全角色白值成长!E35,36,全角色白值成长!E36,37,全角色白值成长!E37,38,全角色白值成长!E38,39,全角色白值成长!E39,40,全角色白值成长!E40,41,全角色白值成长!E41,42,全角色白值成长!E42,43,全角色白值成长!E43,44,全角色白值成长!E44,45,全角色白值成长!E45,46,全角色白值成长!E46,47,全角色白值成长!E47,48,全角色白值成长!E48,49,全角色白值成长!E49,50,全角色白值成长!E50,51,全角色白值成长!E51,52,全角色白值成长!E52,53,全角色白值成长!E53,54,全角色白值成长!E54,55,全角色白值成长!E55,56,全角色白值成长!E56,57,全角色白值成长!E57,58,全角色白值成长!E58,59,全角色白值成长!E59,60,全角色白值成长!E60,61,全角色白值成长!E61,62,全角色白值成长!E62,63,全角色白值成长!E63,64,全角色白值成长!E64,65,全角色白值成长!E65,66,全角色白值成长!E66,67,全角色白值成长!E67,68,全角色白值成长!E68,69,全角色白值成长!E69,70,全角色白值成长!E70,71,全角色白值成长!E71)</f>
        <v>9</v>
      </c>
      <c r="E8" s="1" cm="1">
        <f t="array" ref="E8">_xlfn.SWITCH(D5,2,全角色白值成长!F2,3,全角色白值成长!F3,4,全角色白值成长!F4,5,全角色白值成长!F5,6,全角色白值成长!F6,7,全角色白值成长!F7,8,全角色白值成长!F8,9,全角色白值成长!F9,10,全角色白值成长!F10,11,全角色白值成长!F11,12,全角色白值成长!F12,13,全角色白值成长!F13,14,全角色白值成长!F14,15,全角色白值成长!F15,16,全角色白值成长!F16,17,全角色白值成长!F17,18,全角色白值成长!F18,19,全角色白值成长!F19,20,全角色白值成长!F20,21,全角色白值成长!F21,22,全角色白值成长!F22,23,全角色白值成长!F23,24,全角色白值成长!F24,25,全角色白值成长!F25,26,全角色白值成长!F26,27,全角色白值成长!F27,28,全角色白值成长!F28,29,全角色白值成长!F29,30,全角色白值成长!F30,31,全角色白值成长!F31,32,全角色白值成长!F32,33,全角色白值成长!F33,34,全角色白值成长!F34,35,全角色白值成长!F35,36,全角色白值成长!F36,37,全角色白值成长!F37,38,全角色白值成长!F38,39,全角色白值成长!F39,40,全角色白值成长!F40,41,全角色白值成长!F41,42,全角色白值成长!F42,43,全角色白值成长!F43,44,全角色白值成长!F44,45,全角色白值成长!F45,46,全角色白值成长!F46,47,全角色白值成长!F47,48,全角色白值成长!F48,49,全角色白值成长!F49,50,全角色白值成长!F50,51,全角色白值成长!F51,52,全角色白值成长!F52,53,全角色白值成长!F53,54,全角色白值成长!F54,55,全角色白值成长!F55,56,全角色白值成长!F56,57,全角色白值成长!F57,58,全角色白值成长!F58,59,全角色白值成长!F59,60,全角色白值成长!F60,61,全角色白值成长!F61,62,全角色白值成长!F62,63,全角色白值成长!F63,64,全角色白值成长!F64,65,全角色白值成长!F65,66,全角色白值成长!F66,67,全角色白值成长!F67,68,全角色白值成长!F68,69,全角色白值成长!F69,70,全角色白值成长!F70,71,全角色白值成长!F71)</f>
        <v>214</v>
      </c>
      <c r="F8" s="1" cm="1">
        <f t="array" ref="F8">_xlfn.SWITCH(D5,2,全角色白值成长!G2,3,全角色白值成长!G3,4,全角色白值成长!G4,5,全角色白值成长!G5,6,全角色白值成长!G6,7,全角色白值成长!G7,8,全角色白值成长!G8,9,全角色白值成长!G9,10,全角色白值成长!G10,11,全角色白值成长!G11,12,全角色白值成长!G12,13,全角色白值成长!G13,14,全角色白值成长!G14,15,全角色白值成长!G15,16,全角色白值成长!G16,17,全角色白值成长!G17,18,全角色白值成长!G18,19,全角色白值成长!G19,20,全角色白值成长!G20,21,全角色白值成长!G21,22,全角色白值成长!G22,23,全角色白值成长!G23,24,全角色白值成长!G24,25,全角色白值成长!G25,26,全角色白值成长!G26,27,全角色白值成长!G27,28,全角色白值成长!G28,29,全角色白值成长!G29,30,全角色白值成长!G30,31,全角色白值成长!G31,32,全角色白值成长!G32,33,全角色白值成长!G33,34,全角色白值成长!G34,35,全角色白值成长!G35,36,全角色白值成长!G36,37,全角色白值成长!G37,38,全角色白值成长!G38,39,全角色白值成长!G39,40,全角色白值成长!G40,41,全角色白值成长!G41,42,全角色白值成长!G42,43,全角色白值成长!G43,44,全角色白值成长!G44,45,全角色白值成长!G45,46,全角色白值成长!G46,47,全角色白值成长!G47,48,全角色白值成长!G48,49,全角色白值成长!G49,50,全角色白值成长!G50,51,全角色白值成长!G51,52,全角色白值成长!G52,53,全角色白值成长!G53,54,全角色白值成长!G54,55,全角色白值成长!G55,56,全角色白值成长!G56,57,全角色白值成长!G57,58,全角色白值成长!G58,59,全角色白值成长!G59,60,全角色白值成长!G60,61,全角色白值成长!G61,62,全角色白值成长!G62,63,全角色白值成长!G63,64,全角色白值成长!G64,65,全角色白值成长!G65,66,全角色白值成长!G66,67,全角色白值成长!G67,68,全角色白值成长!G68,69,全角色白值成长!G69,70,全角色白值成长!G70,71,全角色白值成长!G71)</f>
        <v>7</v>
      </c>
      <c r="G8" s="1" cm="1">
        <f t="array" ref="G8">_xlfn.SWITCH(D5,2,全角色白值成长!H2,3,全角色白值成长!H3,4,全角色白值成长!H4,5,全角色白值成长!H5,6,全角色白值成长!H6,7,全角色白值成长!H7,8,全角色白值成长!H8,9,全角色白值成长!H9,10,全角色白值成长!H10,11,全角色白值成长!H11,12,全角色白值成长!H12,13,全角色白值成长!H13,14,全角色白值成长!H14,15,全角色白值成长!H15,16,全角色白值成长!H16,17,全角色白值成长!H17,18,全角色白值成长!H18,19,全角色白值成长!H19,20,全角色白值成长!H20,21,全角色白值成长!H21,22,全角色白值成长!H22,23,全角色白值成长!H23,24,全角色白值成长!H24,25,全角色白值成长!H25,26,全角色白值成长!H26,27,全角色白值成长!H27,28,全角色白值成长!H28,29,全角色白值成长!H29,30,全角色白值成长!H30,31,全角色白值成长!H31,32,全角色白值成长!H32,33,全角色白值成长!H33,34,全角色白值成长!H34,35,全角色白值成长!H35,36,全角色白值成长!H36,37,全角色白值成长!H37,38,全角色白值成长!H38,39,全角色白值成长!H39,40,全角色白值成长!H40,41,全角色白值成长!H41,42,全角色白值成长!H42,43,全角色白值成长!H43,44,全角色白值成长!H44,45,全角色白值成长!H45,46,全角色白值成长!H46,47,全角色白值成长!H47,48,全角色白值成长!H48,49,全角色白值成长!H49,50,全角色白值成长!H50,51,全角色白值成长!H51,52,全角色白值成长!H52,53,全角色白值成长!H53,54,全角色白值成长!H54,55,全角色白值成长!H55,56,全角色白值成长!H56,57,全角色白值成长!H57,58,全角色白值成长!H58,59,全角色白值成长!H59,60,全角色白值成长!H60,61,全角色白值成长!H61,62,全角色白值成长!H62,63,全角色白值成长!H63,64,全角色白值成长!H64,65,全角色白值成长!H65,66,全角色白值成长!H66,67,全角色白值成长!H67,68,全角色白值成长!H68,69,全角色白值成长!H69,70,全角色白值成长!H70,71,全角色白值成长!H71)</f>
        <v>206</v>
      </c>
      <c r="H8" s="1" cm="1">
        <f t="array" ref="H8">_xlfn.SWITCH(D5,2,全角色白值成长!I2,3,全角色白值成长!I3,4,全角色白值成长!I4,5,全角色白值成长!I5,6,全角色白值成长!I6,7,全角色白值成长!I7,8,全角色白值成长!I8,9,全角色白值成长!I9,10,全角色白值成长!I10,11,全角色白值成长!I11,12,全角色白值成长!I12,13,全角色白值成长!I13,14,全角色白值成长!I14,15,全角色白值成长!I15,16,全角色白值成长!I16,17,全角色白值成长!I17,18,全角色白值成长!I18,19,全角色白值成长!I19,20,全角色白值成长!I20,21,全角色白值成长!I21,22,全角色白值成长!I22,23,全角色白值成长!I23,24,全角色白值成长!I24,25,全角色白值成长!I25,26,全角色白值成长!I26,27,全角色白值成长!I27,28,全角色白值成长!I28,29,全角色白值成长!I29,30,全角色白值成长!I30,31,全角色白值成长!I31,32,全角色白值成长!I32,33,全角色白值成长!I33,34,全角色白值成长!I34,35,全角色白值成长!I35,36,全角色白值成长!I36,37,全角色白值成长!I37,38,全角色白值成长!I38,39,全角色白值成长!I39,40,全角色白值成长!I40,41,全角色白值成长!I41,42,全角色白值成长!I42,43,全角色白值成长!I43,44,全角色白值成长!I44,45,全角色白值成长!I45,46,全角色白值成长!I46,47,全角色白值成长!I47,48,全角色白值成长!I48,49,全角色白值成长!I49,50,全角色白值成长!I50,51,全角色白值成长!I51,52,全角色白值成长!I52,53,全角色白值成长!I53,54,全角色白值成长!I54,55,全角色白值成长!I55,56,全角色白值成长!I56,57,全角色白值成长!I57,58,全角色白值成长!I58,59,全角色白值成长!I59,60,全角色白值成长!I60,61,全角色白值成长!I61,62,全角色白值成长!I62,63,全角色白值成长!I63,64,全角色白值成长!I64,65,全角色白值成长!I65,66,全角色白值成长!I66,67,全角色白值成长!I67,68,全角色白值成长!I68,69,全角色白值成长!I69,70,全角色白值成长!I70,71,全角色白值成长!I71)</f>
        <v>8</v>
      </c>
      <c r="I8" s="1" cm="1">
        <f t="array" ref="I8">_xlfn.SWITCH(D5,2,全角色白值成长!J2,3,全角色白值成长!J3,4,全角色白值成长!J4,5,全角色白值成长!J5,6,全角色白值成长!J6,7,全角色白值成长!J7,8,全角色白值成长!J8,9,全角色白值成长!J9,10,全角色白值成长!J10,11,全角色白值成长!J11,12,全角色白值成长!J12,13,全角色白值成长!J13,14,全角色白值成长!J14,15,全角色白值成长!J15,16,全角色白值成长!J16,17,全角色白值成长!J17,18,全角色白值成长!J18,19,全角色白值成长!J19,20,全角色白值成长!J20,21,全角色白值成长!J21,22,全角色白值成长!J22,23,全角色白值成长!J23,24,全角色白值成长!J24,25,全角色白值成长!J25,26,全角色白值成长!J26,27,全角色白值成长!J27,28,全角色白值成长!J28,29,全角色白值成长!J29,30,全角色白值成长!J30,31,全角色白值成长!J31,32,全角色白值成长!J32,33,全角色白值成长!J33,34,全角色白值成长!J34,35,全角色白值成长!J35,36,全角色白值成长!J36,37,全角色白值成长!J37,38,全角色白值成长!J38,39,全角色白值成长!J39,40,全角色白值成长!J40,41,全角色白值成长!J41,42,全角色白值成长!J42,43,全角色白值成长!J43,44,全角色白值成长!J44,45,全角色白值成长!J45,46,全角色白值成长!J46,47,全角色白值成长!J47,48,全角色白值成长!J48,49,全角色白值成长!J49,50,全角色白值成长!J50,51,全角色白值成长!J51,52,全角色白值成长!J52,53,全角色白值成长!J53,54,全角色白值成长!J54,55,全角色白值成长!J55,56,全角色白值成长!J56,57,全角色白值成长!J57,58,全角色白值成长!J58,59,全角色白值成长!J59,60,全角色白值成长!J60,61,全角色白值成长!J61,62,全角色白值成长!J62,63,全角色白值成长!J63,64,全角色白值成长!J64,65,全角色白值成长!J65,66,全角色白值成长!J66,67,全角色白值成长!J67,68,全角色白值成长!J68,69,全角色白值成长!J69,70,全角色白值成长!J70,71,全角色白值成长!J71)</f>
        <v>210</v>
      </c>
      <c r="J8" s="1" cm="1">
        <f t="array" ref="J8">_xlfn.SWITCH(D5,2,全角色白值成长!K2,3,全角色白值成长!K3,4,全角色白值成长!K4,5,全角色白值成长!K5,6,全角色白值成长!K6,7,全角色白值成长!K7,8,全角色白值成长!K8,9,全角色白值成长!K9,10,全角色白值成长!K10,11,全角色白值成长!K11,12,全角色白值成长!K12,13,全角色白值成长!K13,14,全角色白值成长!K14,15,全角色白值成长!K15,16,全角色白值成长!K16,17,全角色白值成长!K17,18,全角色白值成长!K18,19,全角色白值成长!K19,20,全角色白值成长!K20,21,全角色白值成长!K21,22,全角色白值成长!K22,23,全角色白值成长!K23,24,全角色白值成长!K24,25,全角色白值成长!K25,26,全角色白值成长!K26,27,全角色白值成长!K27,28,全角色白值成长!K28,29,全角色白值成长!K29,30,全角色白值成长!K30,31,全角色白值成长!K31,32,全角色白值成长!K32,33,全角色白值成长!K33,34,全角色白值成长!K34,35,全角色白值成长!K35,36,全角色白值成长!K36,37,全角色白值成长!K37,38,全角色白值成长!K38,39,全角色白值成长!K39,40,全角色白值成长!K40,41,全角色白值成长!K41,42,全角色白值成长!K42,43,全角色白值成长!K43,44,全角色白值成长!K44,45,全角色白值成长!K45,46,全角色白值成长!K46,47,全角色白值成长!K47,48,全角色白值成长!K48,49,全角色白值成长!K49,50,全角色白值成长!K50,51,全角色白值成长!K51,52,全角色白值成长!K52,53,全角色白值成长!K53,54,全角色白值成长!K54,55,全角色白值成长!K55,56,全角色白值成长!K56,57,全角色白值成长!K57,58,全角色白值成长!K58,59,全角色白值成长!K59,60,全角色白值成长!K60,61,全角色白值成长!K61,62,全角色白值成长!K62,63,全角色白值成长!K63,64,全角色白值成长!K64,65,全角色白值成长!K65,66,全角色白值成长!K66,67,全角色白值成长!K67,68,全角色白值成长!K68,69,全角色白值成长!K69,70,全角色白值成长!K70,71,全角色白值成长!K71)</f>
        <v>8</v>
      </c>
      <c r="K8" s="1" cm="1">
        <f t="array" ref="K8">_xlfn.SWITCH(D5,2,全角色白值成长!L2,3,全角色白值成长!L3,4,全角色白值成长!L4,5,全角色白值成长!L5,6,全角色白值成长!L6,7,全角色白值成长!L7,8,全角色白值成长!L8,9,全角色白值成长!L9,10,全角色白值成长!L10,11,全角色白值成长!L11,12,全角色白值成长!L12,13,全角色白值成长!L13,14,全角色白值成长!L14,15,全角色白值成长!L15,16,全角色白值成长!L16,17,全角色白值成长!L17,18,全角色白值成长!L18,19,全角色白值成长!L19,20,全角色白值成长!L20,21,全角色白值成长!L21,22,全角色白值成长!L22,23,全角色白值成长!L23,24,全角色白值成长!L24,25,全角色白值成长!L25,26,全角色白值成长!L26,27,全角色白值成长!L27,28,全角色白值成长!L28,29,全角色白值成长!L29,30,全角色白值成长!L30,31,全角色白值成长!L31,32,全角色白值成长!L32,33,全角色白值成长!L33,34,全角色白值成长!L34,35,全角色白值成长!L35,36,全角色白值成长!L36,37,全角色白值成长!L37,38,全角色白值成长!L38,39,全角色白值成长!L39,40,全角色白值成长!L40,41,全角色白值成长!L41,42,全角色白值成长!L42,43,全角色白值成长!L43,44,全角色白值成长!L44,45,全角色白值成长!L45,46,全角色白值成长!L46,47,全角色白值成长!L47,48,全角色白值成长!L48,49,全角色白值成长!L49,50,全角色白值成长!L50,51,全角色白值成长!L51,52,全角色白值成长!L52,53,全角色白值成长!L53,54,全角色白值成长!L54,55,全角色白值成长!L55,56,全角色白值成长!L56,57,全角色白值成长!L57,58,全角色白值成长!L58,59,全角色白值成长!L59,60,全角色白值成长!L60,61,全角色白值成长!L61,62,全角色白值成长!L62,63,全角色白值成长!L63,64,全角色白值成长!L64,65,全角色白值成长!L65,66,全角色白值成长!L66,67,全角色白值成长!L67,68,全角色白值成长!L68,69,全角色白值成长!L69,70,全角色白值成长!L70,71,全角色白值成长!L71)</f>
        <v>210</v>
      </c>
      <c r="L8" s="1" cm="1">
        <f t="array" ref="L8">_xlfn.SWITCH(D5,2,全角色白值成长!M2,3,全角色白值成长!M3,4,全角色白值成长!M4,5,全角色白值成长!M5,6,全角色白值成长!M6,7,全角色白值成长!M7,8,全角色白值成长!M8,9,全角色白值成长!M9,10,全角色白值成长!M10,11,全角色白值成长!M11,12,全角色白值成长!M12,13,全角色白值成长!M13,14,全角色白值成长!M14,15,全角色白值成长!M15,16,全角色白值成长!M16,17,全角色白值成长!M17,18,全角色白值成长!M18,19,全角色白值成长!M19,20,全角色白值成长!M20,21,全角色白值成长!M21,22,全角色白值成长!M22,23,全角色白值成长!M23,24,全角色白值成长!M24,25,全角色白值成长!M25,26,全角色白值成长!M26,27,全角色白值成长!M27,28,全角色白值成长!M28,29,全角色白值成长!M29,30,全角色白值成长!M30,31,全角色白值成长!M31,32,全角色白值成长!M32,33,全角色白值成长!M33,34,全角色白值成长!M34,35,全角色白值成长!M35,36,全角色白值成长!M36,37,全角色白值成长!M37,38,全角色白值成长!M38,39,全角色白值成长!M39,40,全角色白值成长!M40,41,全角色白值成长!M41,42,全角色白值成长!M42,43,全角色白值成长!M43,44,全角色白值成长!M44,45,全角色白值成长!M45,46,全角色白值成长!M46,47,全角色白值成长!M47,48,全角色白值成长!M48,49,全角色白值成长!M49,50,全角色白值成长!M50,51,全角色白值成长!M51,52,全角色白值成长!M52,53,全角色白值成长!M53,54,全角色白值成长!M54,55,全角色白值成长!M55,56,全角色白值成长!M56,57,全角色白值成长!M57,58,全角色白值成长!M58,59,全角色白值成长!M59,60,全角色白值成长!M60,61,全角色白值成长!M61,62,全角色白值成长!M62,63,全角色白值成长!M63,64,全角色白值成长!M64,65,全角色白值成长!M65,66,全角色白值成长!M66,67,全角色白值成长!M67,68,全角色白值成长!M68,69,全角色白值成长!M69,70,全角色白值成长!M70,71,全角色白值成长!M71)</f>
        <v>8</v>
      </c>
      <c r="M8" s="1" cm="1">
        <f t="array" ref="M8">_xlfn.SWITCH(D5,2,全角色白值成长!N2,3,全角色白值成长!N3,4,全角色白值成长!N4,5,全角色白值成长!N5,6,全角色白值成长!N6,7,全角色白值成长!N7,8,全角色白值成长!N8,9,全角色白值成长!N9,10,全角色白值成长!N10,11,全角色白值成长!N11,12,全角色白值成长!N12,13,全角色白值成长!N13,14,全角色白值成长!N14,15,全角色白值成长!N15,16,全角色白值成长!N16,17,全角色白值成长!N17,18,全角色白值成长!N18,19,全角色白值成长!N19,20,全角色白值成长!N20,21,全角色白值成长!N21,22,全角色白值成长!N22,23,全角色白值成长!N23,24,全角色白值成长!N24,25,全角色白值成长!N25,26,全角色白值成长!N26,27,全角色白值成长!N27,28,全角色白值成长!N28,29,全角色白值成长!N29,30,全角色白值成长!N30,31,全角色白值成长!N31,32,全角色白值成长!N32,33,全角色白值成长!N33,34,全角色白值成长!N34,35,全角色白值成长!N35,36,全角色白值成长!N36,37,全角色白值成长!N37,38,全角色白值成长!N38,39,全角色白值成长!N39,40,全角色白值成长!N40,41,全角色白值成长!N41,42,全角色白值成长!N42,43,全角色白值成长!N43,44,全角色白值成长!N44,45,全角色白值成长!N45,46,全角色白值成长!N46,47,全角色白值成长!N47,48,全角色白值成长!N48,49,全角色白值成长!N49,50,全角色白值成长!N50,51,全角色白值成长!N51,52,全角色白值成长!N52,53,全角色白值成长!N53,54,全角色白值成长!N54,55,全角色白值成长!N55,56,全角色白值成长!N56,57,全角色白值成长!N57,58,全角色白值成长!N58,59,全角色白值成长!N59,60,全角色白值成长!N60,61,全角色白值成长!N61,62,全角色白值成长!N62,63,全角色白值成长!N63,64,全角色白值成长!N64,65,全角色白值成长!N65,66,全角色白值成长!N66,67,全角色白值成长!N67,68,全角色白值成长!N68,69,全角色白值成长!N69,70,全角色白值成长!N70,71,全角色白值成长!N71)</f>
        <v>212</v>
      </c>
      <c r="N8" s="1" cm="1">
        <f t="array" ref="N8">_xlfn.SWITCH(D5,2,全角色白值成长!O2,3,全角色白值成长!O3,4,全角色白值成长!O4,5,全角色白值成长!O5,6,全角色白值成长!O6,7,全角色白值成长!O7,8,全角色白值成长!O8,9,全角色白值成长!O9,10,全角色白值成长!O10,11,全角色白值成长!O11,12,全角色白值成长!O12,13,全角色白值成长!O13,14,全角色白值成长!O14,15,全角色白值成长!O15,16,全角色白值成长!O16,17,全角色白值成长!O17,18,全角色白值成长!O18,19,全角色白值成长!O19,20,全角色白值成长!O20,21,全角色白值成长!O21,22,全角色白值成长!O22,23,全角色白值成长!O23,24,全角色白值成长!O24,25,全角色白值成长!O25,26,全角色白值成长!O26,27,全角色白值成长!O27,28,全角色白值成长!O28,29,全角色白值成长!O29,30,全角色白值成长!O30,31,全角色白值成长!O31,32,全角色白值成长!O32,33,全角色白值成长!O33,34,全角色白值成长!O34,35,全角色白值成长!O35,36,全角色白值成长!O36,37,全角色白值成长!O37,38,全角色白值成长!O38,39,全角色白值成长!O39,40,全角色白值成长!O40,41,全角色白值成长!O41,42,全角色白值成长!O42,43,全角色白值成长!O43,44,全角色白值成长!O44,45,全角色白值成长!O45,46,全角色白值成长!O46,47,全角色白值成长!O47,48,全角色白值成长!O48,49,全角色白值成长!O49,50,全角色白值成长!O50,51,全角色白值成长!O51,52,全角色白值成长!O52,53,全角色白值成长!O53,54,全角色白值成长!O54,55,全角色白值成长!O55,56,全角色白值成长!O56,57,全角色白值成长!O57,58,全角色白值成长!O58,59,全角色白值成长!O59,60,全角色白值成长!O60,61,全角色白值成长!O61,62,全角色白值成长!O62,63,全角色白值成长!O63,64,全角色白值成长!O64,65,全角色白值成长!O65,66,全角色白值成长!O66,67,全角色白值成长!O67,68,全角色白值成长!O68,69,全角色白值成长!O69,70,全角色白值成长!O70,71,全角色白值成长!O71)</f>
        <v>8</v>
      </c>
      <c r="O8" s="1" cm="1">
        <f t="array" ref="O8">_xlfn.SWITCH(D5,2,全角色白值成长!P2,3,全角色白值成长!P3,4,全角色白值成长!P4,5,全角色白值成长!P5,6,全角色白值成长!P6,7,全角色白值成长!P7,8,全角色白值成长!P8,9,全角色白值成长!P9,10,全角色白值成长!P10,11,全角色白值成长!P11,12,全角色白值成长!P12,13,全角色白值成长!P13,14,全角色白值成长!P14,15,全角色白值成长!P15,16,全角色白值成长!P16,17,全角色白值成长!P17,18,全角色白值成长!P18,19,全角色白值成长!P19,20,全角色白值成长!P20,21,全角色白值成长!P21,22,全角色白值成长!P22,23,全角色白值成长!P23,24,全角色白值成长!P24,25,全角色白值成长!P25,26,全角色白值成长!P26,27,全角色白值成长!P27,28,全角色白值成长!P28,29,全角色白值成长!P29,30,全角色白值成长!P30,31,全角色白值成长!P31,32,全角色白值成长!P32,33,全角色白值成长!P33,34,全角色白值成长!P34,35,全角色白值成长!P35,36,全角色白值成长!P36,37,全角色白值成长!P37,38,全角色白值成长!P38,39,全角色白值成长!P39,40,全角色白值成长!P40,41,全角色白值成长!P41,42,全角色白值成长!P42,43,全角色白值成长!P43,44,全角色白值成长!P44,45,全角色白值成长!P45,46,全角色白值成长!P46,47,全角色白值成长!P47,48,全角色白值成长!P48,49,全角色白值成长!P49,50,全角色白值成长!P50,51,全角色白值成长!P51,52,全角色白值成长!P52,53,全角色白值成长!P53,54,全角色白值成长!P54,55,全角色白值成长!P55,56,全角色白值成长!P56,57,全角色白值成长!P57,58,全角色白值成长!P58,59,全角色白值成长!P59,60,全角色白值成长!P60,61,全角色白值成长!P61,62,全角色白值成长!P62,63,全角色白值成长!P63,64,全角色白值成长!P64,65,全角色白值成长!P65,66,全角色白值成长!P66,67,全角色白值成长!P67,68,全角色白值成长!P68,69,全角色白值成长!P69,70,全角色白值成长!P70,71,全角色白值成长!P71)</f>
        <v>208</v>
      </c>
    </row>
    <row r="9" spans="1:15" hidden="1">
      <c r="C9" s="35" t="s">
        <v>213</v>
      </c>
      <c r="D9" s="1" t="s">
        <v>153</v>
      </c>
      <c r="E9" s="1" t="s">
        <v>154</v>
      </c>
      <c r="F9" s="1" t="s">
        <v>157</v>
      </c>
      <c r="G9" s="1" t="s">
        <v>84</v>
      </c>
      <c r="H9" s="1" t="s">
        <v>155</v>
      </c>
      <c r="I9" s="1" t="s">
        <v>156</v>
      </c>
    </row>
    <row r="10" spans="1:15" hidden="1">
      <c r="C10" s="26"/>
      <c r="D10" s="1" cm="1">
        <f t="array" ref="D10">_xlfn.SWITCH(D5,2,AS通用白值!E2,3,AS通用白值!E3,4,AS通用白值!E4,5,AS通用白值!E5,6,AS通用白值!E6,7,AS通用白值!E7,8,AS通用白值!E8,9,AS通用白值!E9,10,AS通用白值!E10,11,AS通用白值!E11,12,AS通用白值!E12,13,AS通用白值!E13,14,AS通用白值!E14,15,AS通用白值!E15,16,AS通用白值!E16,17,AS通用白值!E17,18,AS通用白值!E18,19,AS通用白值!E19,20,AS通用白值!E20,21,AS通用白值!E21,22,AS通用白值!E22,23,AS通用白值!E23,24,AS通用白值!E24,25,AS通用白值!E25,26,AS通用白值!E26,27,AS通用白值!E27,28,AS通用白值!E28,29,AS通用白值!E29,30,AS通用白值!E30,31,AS通用白值!E31,32,AS通用白值!E32,33,AS通用白值!E33,34,AS通用白值!E34,35,AS通用白值!E35,36,AS通用白值!E36,37,AS通用白值!E37,38,AS通用白值!E38,39,AS通用白值!E39,40,AS通用白值!E40,41,AS通用白值!E41,42,AS通用白值!E42,43,AS通用白值!E43,44,AS通用白值!E44,45,AS通用白值!E45,46,AS通用白值!E46,47,AS通用白值!E47,48,AS通用白值!E48,49,AS通用白值!E49,50,AS通用白值!E50,51,AS通用白值!E51,52,AS通用白值!E52,53,AS通用白值!E53,54,AS通用白值!E54,55,AS通用白值!E55,56,AS通用白值!E56,57,AS通用白值!E57,58,AS通用白值!E58,59,AS通用白值!E59,60,AS通用白值!E60,61,AS通用白值!E61,62,AS通用白值!E62,63,AS通用白值!E63,64,AS通用白值!E64,65,AS通用白值!E65,66,AS通用白值!E66,67,AS通用白值!E67,68,AS通用白值!E68,69,AS通用白值!E69,70,AS通用白值!E70,71,AS通用白值!E71)</f>
        <v>0</v>
      </c>
      <c r="E10" s="1" cm="1">
        <f t="array" ref="E10">_xlfn.SWITCH(D5,2,AS通用白值!F2,3,AS通用白值!F3,4,AS通用白值!F4,5,AS通用白值!F5,6,AS通用白值!F6,7,AS通用白值!F7,8,AS通用白值!F8,9,AS通用白值!F9,10,AS通用白值!F10,11,AS通用白值!F11,12,AS通用白值!F12,13,AS通用白值!F13,14,AS通用白值!F14,15,AS通用白值!F15,16,AS通用白值!F16,17,AS通用白值!F17,18,AS通用白值!F18,19,AS通用白值!F19,20,AS通用白值!F20,21,AS通用白值!F21,22,AS通用白值!F22,23,AS通用白值!F23,24,AS通用白值!F24,25,AS通用白值!F25,26,AS通用白值!F26,27,AS通用白值!F27,28,AS通用白值!F28,29,AS通用白值!F29,30,AS通用白值!F30,31,AS通用白值!F31,32,AS通用白值!F32,33,AS通用白值!F33,34,AS通用白值!F34,35,AS通用白值!F35,36,AS通用白值!F36,37,AS通用白值!F37,38,AS通用白值!F38,39,AS通用白值!F39,40,AS通用白值!F40,41,AS通用白值!F41,42,AS通用白值!F42,43,AS通用白值!F43,44,AS通用白值!F44,45,AS通用白值!F45,46,AS通用白值!F46,47,AS通用白值!F47,48,AS通用白值!F48,49,AS通用白值!F49,50,AS通用白值!F50,51,AS通用白值!F51,52,AS通用白值!F52,53,AS通用白值!F53,54,AS通用白值!F54,55,AS通用白值!F55,56,AS通用白值!F56,57,AS通用白值!F57,58,AS通用白值!F58,59,AS通用白值!F59,60,AS通用白值!F60,61,AS通用白值!F61,62,AS通用白值!F62,63,AS通用白值!F63,64,AS通用白值!F64,65,AS通用白值!F65,66,AS通用白值!F66,67,AS通用白值!F67,68,AS通用白值!F68,69,AS通用白值!F69,70,AS通用白值!F70,71,AS通用白值!F71)</f>
        <v>0</v>
      </c>
      <c r="F10" s="1" cm="1">
        <f t="array" ref="F10">_xlfn.SWITCH(D5,2,AS通用白值!G2,3,AS通用白值!G3,4,AS通用白值!G4,5,AS通用白值!G5,6,AS通用白值!G6,7,AS通用白值!G7,8,AS通用白值!G8,9,AS通用白值!G9,10,AS通用白值!G10,11,AS通用白值!G11,12,AS通用白值!G12,13,AS通用白值!G13,14,AS通用白值!G14,15,AS通用白值!G15,16,AS通用白值!G16,17,AS通用白值!G17,18,AS通用白值!G18,19,AS通用白值!G19,20,AS通用白值!G20,21,AS通用白值!G21,22,AS通用白值!G22,23,AS通用白值!G23,24,AS通用白值!G24,25,AS通用白值!G25,26,AS通用白值!G26,27,AS通用白值!G27,28,AS通用白值!G28,29,AS通用白值!G29,30,AS通用白值!G30,31,AS通用白值!G31,32,AS通用白值!G32,33,AS通用白值!G33,34,AS通用白值!G34,35,AS通用白值!G35,36,AS通用白值!G36,37,AS通用白值!G37,38,AS通用白值!G38,39,AS通用白值!G39,40,AS通用白值!G40,41,AS通用白值!G41,42,AS通用白值!G42,43,AS通用白值!G43,44,AS通用白值!G44,45,AS通用白值!G45,46,AS通用白值!G46,47,AS通用白值!G47,48,AS通用白值!G48,49,AS通用白值!G49,50,AS通用白值!G50,51,AS通用白值!G51,52,AS通用白值!G52,53,AS通用白值!G53,54,AS通用白值!G54,55,AS通用白值!G55,56,AS通用白值!G56,57,AS通用白值!G57,58,AS通用白值!G58,59,AS通用白值!G59,60,AS通用白值!G60,61,AS通用白值!G61,62,AS通用白值!G62,63,AS通用白值!G63,64,AS通用白值!G64,65,AS通用白值!G65,66,AS通用白值!G66,67,AS通用白值!G67,68,AS通用白值!G68,69,AS通用白值!G69,70,AS通用白值!G70,71,AS通用白值!G71)</f>
        <v>0</v>
      </c>
      <c r="G10" s="1" cm="1">
        <f t="array" ref="G10">_xlfn.SWITCH(D5,2,AS通用白值!H2,3,AS通用白值!H3,4,AS通用白值!H4,5,AS通用白值!H5,6,AS通用白值!H6,7,AS通用白值!H7,8,AS通用白值!H8,9,AS通用白值!H9,10,AS通用白值!H10,11,AS通用白值!H11,12,AS通用白值!H12,13,AS通用白值!H13,14,AS通用白值!H14,15,AS通用白值!H15,16,AS通用白值!H16,17,AS通用白值!H17,18,AS通用白值!H18,19,AS通用白值!H19,20,AS通用白值!H20,21,AS通用白值!H21,22,AS通用白值!H22,23,AS通用白值!H23,24,AS通用白值!H24,25,AS通用白值!H25,26,AS通用白值!H26,27,AS通用白值!H27,28,AS通用白值!H28,29,AS通用白值!H29,30,AS通用白值!H30,31,AS通用白值!H31,32,AS通用白值!H32,33,AS通用白值!H33,34,AS通用白值!H34,35,AS通用白值!H35,36,AS通用白值!H36,37,AS通用白值!H37,38,AS通用白值!H38,39,AS通用白值!H39,40,AS通用白值!H40,41,AS通用白值!H41,42,AS通用白值!H42,43,AS通用白值!H43,44,AS通用白值!H44,45,AS通用白值!H45,46,AS通用白值!H46,47,AS通用白值!H47,48,AS通用白值!H48,49,AS通用白值!H49,50,AS通用白值!H50,51,AS通用白值!H51,52,AS通用白值!H52,53,AS通用白值!H53,54,AS通用白值!H54,55,AS通用白值!H55,56,AS通用白值!H56,57,AS通用白值!H57,58,AS通用白值!H58,59,AS通用白值!H59,60,AS通用白值!H60,61,AS通用白值!H61,62,AS通用白值!H62,63,AS通用白值!H63,64,AS通用白值!H64,65,AS通用白值!H65,66,AS通用白值!H66,67,AS通用白值!H67,68,AS通用白值!H68,69,AS通用白值!H69,70,AS通用白值!H70,71,AS通用白值!H71)</f>
        <v>0</v>
      </c>
      <c r="H10" s="1" cm="1">
        <f t="array" ref="H10">_xlfn.SWITCH(D5,2,AS通用白值!I2,3,AS通用白值!I3,4,AS通用白值!I4,5,AS通用白值!I5,6,AS通用白值!I6,7,AS通用白值!I7,8,AS通用白值!I8,9,AS通用白值!I9,10,AS通用白值!I10,11,AS通用白值!I11,12,AS通用白值!I12,13,AS通用白值!I13,14,AS通用白值!I14,15,AS通用白值!I15,16,AS通用白值!I16,17,AS通用白值!I17,18,AS通用白值!I18,19,AS通用白值!I19,20,AS通用白值!I20,21,AS通用白值!I21,22,AS通用白值!I22,23,AS通用白值!I23,24,AS通用白值!I24,25,AS通用白值!I25,26,AS通用白值!I26,27,AS通用白值!I27,28,AS通用白值!I28,29,AS通用白值!I29,30,AS通用白值!I30,31,AS通用白值!I31,32,AS通用白值!I32,33,AS通用白值!I33,34,AS通用白值!I34,35,AS通用白值!I35,36,AS通用白值!I36,37,AS通用白值!I37,38,AS通用白值!I38,39,AS通用白值!I39,40,AS通用白值!I40,41,AS通用白值!I41,42,AS通用白值!I42,43,AS通用白值!I43,44,AS通用白值!I44,45,AS通用白值!I45,46,AS通用白值!I46,47,AS通用白值!I47,48,AS通用白值!I48,49,AS通用白值!I49,50,AS通用白值!I50,51,AS通用白值!I51,52,AS通用白值!I52,53,AS通用白值!I53,54,AS通用白值!I54,55,AS通用白值!I55,56,AS通用白值!I56,57,AS通用白值!I57,58,AS通用白值!I58,59,AS通用白值!I59,60,AS通用白值!I60,61,AS通用白值!I61,62,AS通用白值!I62,63,AS通用白值!I63,64,AS通用白值!I64,65,AS通用白值!I65,66,AS通用白值!I66,67,AS通用白值!I67,68,AS通用白值!I68,69,AS通用白值!I69,70,AS通用白值!I70,71,AS通用白值!I71)</f>
        <v>0</v>
      </c>
      <c r="I10" s="1" cm="1">
        <f t="array" ref="I10">_xlfn.SWITCH(D5,2,AS通用白值!J2,3,AS通用白值!J3,4,AS通用白值!J4,5,AS通用白值!J5,6,AS通用白值!J6,7,AS通用白值!J7,8,AS通用白值!J8,9,AS通用白值!J9,10,AS通用白值!J10,11,AS通用白值!J11,12,AS通用白值!J12,13,AS通用白值!J13,14,AS通用白值!J14,15,AS通用白值!J15,16,AS通用白值!J16,17,AS通用白值!J17,18,AS通用白值!J18,19,AS通用白值!J19,20,AS通用白值!J20,21,AS通用白值!J21,22,AS通用白值!J22,23,AS通用白值!J23,24,AS通用白值!J24,25,AS通用白值!J25,26,AS通用白值!J26,27,AS通用白值!J27,28,AS通用白值!J28,29,AS通用白值!J29,30,AS通用白值!J30,31,AS通用白值!J31,32,AS通用白值!J32,33,AS通用白值!J33,34,AS通用白值!J34,35,AS通用白值!J35,36,AS通用白值!J36,37,AS通用白值!J37,38,AS通用白值!J38,39,AS通用白值!J39,40,AS通用白值!J40,41,AS通用白值!J41,42,AS通用白值!J42,43,AS通用白值!J43,44,AS通用白值!J44,45,AS通用白值!J45,46,AS通用白值!J46,47,AS通用白值!J47,48,AS通用白值!J48,49,AS通用白值!J49,50,AS通用白值!J50,51,AS通用白值!J51,52,AS通用白值!J52,53,AS通用白值!J53,54,AS通用白值!J54,55,AS通用白值!J55,56,AS通用白值!J56,57,AS通用白值!J57,58,AS通用白值!J58,59,AS通用白值!J59,60,AS通用白值!J60,61,AS通用白值!J61,62,AS通用白值!J62,63,AS通用白值!J63,64,AS通用白值!J64,65,AS通用白值!J65,66,AS通用白值!J66,67,AS通用白值!J67,68,AS通用白值!J68,69,AS通用白值!J69,70,AS通用白值!J70,71,AS通用白值!J71)</f>
        <v>0</v>
      </c>
    </row>
    <row r="11" spans="1:15" hidden="1">
      <c r="C11" s="35" t="s">
        <v>214</v>
      </c>
      <c r="D11" s="1" t="s">
        <v>153</v>
      </c>
      <c r="E11" s="1" t="s">
        <v>154</v>
      </c>
      <c r="F11" s="1" t="s">
        <v>157</v>
      </c>
      <c r="G11" s="1" t="s">
        <v>84</v>
      </c>
      <c r="H11" s="1" t="s">
        <v>155</v>
      </c>
      <c r="I11" s="1" t="s">
        <v>156</v>
      </c>
    </row>
    <row r="12" spans="1:15" hidden="1">
      <c r="C12" s="26"/>
      <c r="D12" s="1" cm="1">
        <f t="array" ref="D12">_xlfn.SWITCH(D5,2,SS通用白值!E2,3,SS通用白值!E3,4,SS通用白值!E4,5,SS通用白值!E5,6,SS通用白值!E6,7,SS通用白值!E7,8,SS通用白值!E8,9,SS通用白值!E9,10,SS通用白值!E10,11,SS通用白值!E11,12,SS通用白值!E12,13,SS通用白值!E13,14,SS通用白值!E14,15,SS通用白值!E15,16,SS通用白值!E16,17,SS通用白值!E17,18,SS通用白值!E18,19,SS通用白值!E19,20,SS通用白值!E20,21,SS通用白值!E21,22,SS通用白值!E22,23,SS通用白值!E23,24,SS通用白值!E24,25,SS通用白值!E25,26,SS通用白值!E26,27,SS通用白值!E27,28,SS通用白值!E28,29,SS通用白值!E29,30,SS通用白值!E30,31,SS通用白值!E31,32,SS通用白值!E32,33,SS通用白值!E33,34,SS通用白值!E34,35,SS通用白值!E35,36,SS通用白值!E36,37,SS通用白值!E37,38,SS通用白值!E38,39,SS通用白值!E39,40,SS通用白值!E40,41,SS通用白值!E41,42,SS通用白值!E42,43,SS通用白值!E43,44,SS通用白值!E44,45,SS通用白值!E45,46,SS通用白值!E46,47,SS通用白值!E47,48,SS通用白值!E48,49,SS通用白值!E49,50,SS通用白值!E50,51,SS通用白值!E51,52,SS通用白值!E52,53,SS通用白值!E53,54,SS通用白值!E54,55,SS通用白值!E55,56,SS通用白值!E56,57,SS通用白值!E57,58,SS通用白值!E58,59,SS通用白值!E59,60,SS通用白值!E60,61,SS通用白值!E61,62,SS通用白值!E62,63,SS通用白值!E63,64,SS通用白值!E64,65,SS通用白值!E65,66,SS通用白值!E66,67,SS通用白值!E67,68,SS通用白值!E68,69,SS通用白值!E69,70,SS通用白值!E70,71,SS通用白值!E71)</f>
        <v>3</v>
      </c>
      <c r="E12" s="1" cm="1">
        <f t="array" ref="E12">_xlfn.SWITCH(D5,2,SS通用白值!F2,3,SS通用白值!F3,4,SS通用白值!F4,5,SS通用白值!F5,6,SS通用白值!F6,7,SS通用白值!F7,8,SS通用白值!F8,9,SS通用白值!F9,10,SS通用白值!F10,11,SS通用白值!F11,12,SS通用白值!F12,13,SS通用白值!F13,14,SS通用白值!F14,15,SS通用白值!F15,16,SS通用白值!F16,17,SS通用白值!F17,18,SS通用白值!F18,19,SS通用白值!F19,20,SS通用白值!F20,21,SS通用白值!F21,22,SS通用白值!F22,23,SS通用白值!F23,24,SS通用白值!F24,25,SS通用白值!F25,26,SS通用白值!F26,27,SS通用白值!F27,28,SS通用白值!F28,29,SS通用白值!F29,30,SS通用白值!F30,31,SS通用白值!F31,32,SS通用白值!F32,33,SS通用白值!F33,34,SS通用白值!F34,35,SS通用白值!F35,36,SS通用白值!F36,37,SS通用白值!F37,38,SS通用白值!F38,39,SS通用白值!F39,40,SS通用白值!F40,41,SS通用白值!F41,42,SS通用白值!F42,43,SS通用白值!F43,44,SS通用白值!F44,45,SS通用白值!F45,46,SS通用白值!F46,47,SS通用白值!F47,48,SS通用白值!F48,49,SS通用白值!F49,50,SS通用白值!F50,51,SS通用白值!F51,52,SS通用白值!F52,53,SS通用白值!F53,54,SS通用白值!F54,55,SS通用白值!F55,56,SS通用白值!F56,57,SS通用白值!F57,58,SS通用白值!F58,59,SS通用白值!F59,60,SS通用白值!F60,61,SS通用白值!F61,62,SS通用白值!F62,63,SS通用白值!F63,64,SS通用白值!F64,65,SS通用白值!F65,66,SS通用白值!F66,67,SS通用白值!F67,68,SS通用白值!F68,69,SS通用白值!F69,70,SS通用白值!F70,71,SS通用白值!F71)</f>
        <v>0</v>
      </c>
      <c r="F12" s="1" cm="1">
        <f t="array" ref="F12">_xlfn.SWITCH(D5,2,SS通用白值!G2,3,SS通用白值!G3,4,SS通用白值!G4,5,SS通用白值!G5,6,SS通用白值!G6,7,SS通用白值!G7,8,SS通用白值!G8,9,SS通用白值!G9,10,SS通用白值!G10,11,SS通用白值!G11,12,SS通用白值!G12,13,SS通用白值!G13,14,SS通用白值!G14,15,SS通用白值!G15,16,SS通用白值!G16,17,SS通用白值!G17,18,SS通用白值!G18,19,SS通用白值!G19,20,SS通用白值!G20,21,SS通用白值!G21,22,SS通用白值!G22,23,SS通用白值!G23,24,SS通用白值!G24,25,SS通用白值!G25,26,SS通用白值!G26,27,SS通用白值!G27,28,SS通用白值!G28,29,SS通用白值!G29,30,SS通用白值!G30,31,SS通用白值!G31,32,SS通用白值!G32,33,SS通用白值!G33,34,SS通用白值!G34,35,SS通用白值!G35,36,SS通用白值!G36,37,SS通用白值!G37,38,SS通用白值!G38,39,SS通用白值!G39,40,SS通用白值!G40,41,SS通用白值!G41,42,SS通用白值!G42,43,SS通用白值!G43,44,SS通用白值!G44,45,SS通用白值!G45,46,SS通用白值!G46,47,SS通用白值!G47,48,SS通用白值!G48,49,SS通用白值!G49,50,SS通用白值!G50,51,SS通用白值!G51,52,SS通用白值!G52,53,SS通用白值!G53,54,SS通用白值!G54,55,SS通用白值!G55,56,SS通用白值!G56,57,SS通用白值!G57,58,SS通用白值!G58,59,SS通用白值!G59,60,SS通用白值!G60,61,SS通用白值!G61,62,SS通用白值!G62,63,SS通用白值!G63,64,SS通用白值!G64,65,SS通用白值!G65,66,SS通用白值!G66,67,SS通用白值!G67,68,SS通用白值!G68,69,SS通用白值!G69,70,SS通用白值!G70,71,SS通用白值!G71)</f>
        <v>2</v>
      </c>
      <c r="G12" s="1" cm="1">
        <f t="array" ref="G12">_xlfn.SWITCH(D5,2,SS通用白值!H2,3,SS通用白值!H3,4,SS通用白值!H4,5,SS通用白值!H5,6,SS通用白值!H6,7,SS通用白值!H7,8,SS通用白值!H8,9,SS通用白值!H9,10,SS通用白值!H10,11,SS通用白值!H11,12,SS通用白值!H12,13,SS通用白值!H13,14,SS通用白值!H14,15,SS通用白值!H15,16,SS通用白值!H16,17,SS通用白值!H17,18,SS通用白值!H18,19,SS通用白值!H19,20,SS通用白值!H20,21,SS通用白值!H21,22,SS通用白值!H22,23,SS通用白值!H23,24,SS通用白值!H24,25,SS通用白值!H25,26,SS通用白值!H26,27,SS通用白值!H27,28,SS通用白值!H28,29,SS通用白值!H29,30,SS通用白值!H30,31,SS通用白值!H31,32,SS通用白值!H32,33,SS通用白值!H33,34,SS通用白值!H34,35,SS通用白值!H35,36,SS通用白值!H36,37,SS通用白值!H37,38,SS通用白值!H38,39,SS通用白值!H39,40,SS通用白值!H40,41,SS通用白值!H41,42,SS通用白值!H42,43,SS通用白值!H43,44,SS通用白值!H44,45,SS通用白值!H45,46,SS通用白值!H46,47,SS通用白值!H47,48,SS通用白值!H48,49,SS通用白值!H49,50,SS通用白值!H50,51,SS通用白值!H51,52,SS通用白值!H52,53,SS通用白值!H53,54,SS通用白值!H54,55,SS通用白值!H55,56,SS通用白值!H56,57,SS通用白值!H57,58,SS通用白值!H58,59,SS通用白值!H59,60,SS通用白值!H60,61,SS通用白值!H61,62,SS通用白值!H62,63,SS通用白值!H63,64,SS通用白值!H64,65,SS通用白值!H65,66,SS通用白值!H66,67,SS通用白值!H67,68,SS通用白值!H68,69,SS通用白值!H69,70,SS通用白值!H70,71,SS通用白值!H71)</f>
        <v>0</v>
      </c>
      <c r="H12" s="1" cm="1">
        <f t="array" ref="H12">_xlfn.SWITCH(D5,2,SS通用白值!I2,3,SS通用白值!I3,4,SS通用白值!I4,5,SS通用白值!I5,6,SS通用白值!I6,7,SS通用白值!I7,8,SS通用白值!I8,9,SS通用白值!I9,10,SS通用白值!I10,11,SS通用白值!I11,12,SS通用白值!I12,13,SS通用白值!I13,14,SS通用白值!I14,15,SS通用白值!I15,16,SS通用白值!I16,17,SS通用白值!I17,18,SS通用白值!I18,19,SS通用白值!I19,20,SS通用白值!I20,21,SS通用白值!I21,22,SS通用白值!I22,23,SS通用白值!I23,24,SS通用白值!I24,25,SS通用白值!I25,26,SS通用白值!I26,27,SS通用白值!I27,28,SS通用白值!I28,29,SS通用白值!I29,30,SS通用白值!I30,31,SS通用白值!I31,32,SS通用白值!I32,33,SS通用白值!I33,34,SS通用白值!I34,35,SS通用白值!I35,36,SS通用白值!I36,37,SS通用白值!I37,38,SS通用白值!I38,39,SS通用白值!I39,40,SS通用白值!I40,41,SS通用白值!I41,42,SS通用白值!I42,43,SS通用白值!I43,44,SS通用白值!I44,45,SS通用白值!I45,46,SS通用白值!I46,47,SS通用白值!I47,48,SS通用白值!I48,49,SS通用白值!I49,50,SS通用白值!I50,51,SS通用白值!I51,52,SS通用白值!I52,53,SS通用白值!I53,54,SS通用白值!I54,55,SS通用白值!I55,56,SS通用白值!I56,57,SS通用白值!I57,58,SS通用白值!I58,59,SS通用白值!I59,60,SS通用白值!I60,61,SS通用白值!I61,62,SS通用白值!I62,63,SS通用白值!I63,64,SS通用白值!I64,65,SS通用白值!I65,66,SS通用白值!I66,67,SS通用白值!I67,68,SS通用白值!I68,69,SS通用白值!I69,70,SS通用白值!I70,71,SS通用白值!I71)</f>
        <v>0</v>
      </c>
      <c r="I12" s="1" cm="1">
        <f t="array" ref="I12">_xlfn.SWITCH(D5,2,SS通用白值!J2,3,SS通用白值!J3,4,SS通用白值!J4,5,SS通用白值!J5,6,SS通用白值!J6,7,SS通用白值!J7,8,SS通用白值!J8,9,SS通用白值!J9,10,SS通用白值!J10,11,SS通用白值!J11,12,SS通用白值!J12,13,SS通用白值!J13,14,SS通用白值!J14,15,SS通用白值!J15,16,SS通用白值!J16,17,SS通用白值!J17,18,SS通用白值!J18,19,SS通用白值!J19,20,SS通用白值!J20,21,SS通用白值!J21,22,SS通用白值!J22,23,SS通用白值!J23,24,SS通用白值!J24,25,SS通用白值!J25,26,SS通用白值!J26,27,SS通用白值!J27,28,SS通用白值!J28,29,SS通用白值!J29,30,SS通用白值!J30,31,SS通用白值!J31,32,SS通用白值!J32,33,SS通用白值!J33,34,SS通用白值!J34,35,SS通用白值!J35,36,SS通用白值!J36,37,SS通用白值!J37,38,SS通用白值!J38,39,SS通用白值!J39,40,SS通用白值!J40,41,SS通用白值!J41,42,SS通用白值!J42,43,SS通用白值!J43,44,SS通用白值!J44,45,SS通用白值!J45,46,SS通用白值!J46,47,SS通用白值!J47,48,SS通用白值!J48,49,SS通用白值!J49,50,SS通用白值!J50,51,SS通用白值!J51,52,SS通用白值!J52,53,SS通用白值!J53,54,SS通用白值!J54,55,SS通用白值!J55,56,SS通用白值!J56,57,SS通用白值!J57,58,SS通用白值!J58,59,SS通用白值!J59,60,SS通用白值!J60,61,SS通用白值!J61,62,SS通用白值!J62,63,SS通用白值!J63,64,SS通用白值!J64,65,SS通用白值!J65,66,SS通用白值!J66,67,SS通用白值!J67,68,SS通用白值!J68,69,SS通用白值!J69,70,SS通用白值!J70,71,SS通用白值!J71)</f>
        <v>0</v>
      </c>
    </row>
    <row r="13" spans="1:15" hidden="1"/>
    <row r="14" spans="1:15" ht="23.65" thickBot="1">
      <c r="A14" s="35" t="s">
        <v>324</v>
      </c>
      <c r="B14" s="26"/>
      <c r="C14" s="26"/>
      <c r="D14" s="1" t="s">
        <v>216</v>
      </c>
      <c r="E14" s="1" t="s">
        <v>217</v>
      </c>
      <c r="F14" s="1" t="s">
        <v>218</v>
      </c>
      <c r="G14" s="23" t="s">
        <v>269</v>
      </c>
    </row>
    <row r="15" spans="1:15" ht="23.65" thickBot="1">
      <c r="A15" s="26"/>
      <c r="B15" s="26"/>
      <c r="C15" s="26"/>
      <c r="D15" s="7"/>
      <c r="E15" s="7"/>
      <c r="F15" s="7"/>
      <c r="G15" s="7"/>
      <c r="H15" s="39" t="s">
        <v>276</v>
      </c>
      <c r="I15" s="31"/>
      <c r="J15" s="31"/>
      <c r="K15" s="31"/>
    </row>
    <row r="16" spans="1:15" ht="23.25" thickBot="1">
      <c r="G16" s="13"/>
      <c r="H16" s="13"/>
      <c r="I16" s="13"/>
      <c r="J16" s="13"/>
    </row>
    <row r="17" spans="1:13" ht="23.25" thickBot="1">
      <c r="C17" s="1" t="s">
        <v>158</v>
      </c>
      <c r="D17" s="7">
        <v>200</v>
      </c>
    </row>
    <row r="18" spans="1:13" ht="23.65" thickBot="1">
      <c r="C18" s="1" t="s">
        <v>159</v>
      </c>
      <c r="D18" s="7">
        <v>13</v>
      </c>
      <c r="E18" s="39" t="s">
        <v>268</v>
      </c>
      <c r="F18" s="31"/>
    </row>
    <row r="19" spans="1:13" ht="23.65" thickBot="1">
      <c r="C19" s="1" t="s">
        <v>160</v>
      </c>
      <c r="D19" s="7">
        <v>20</v>
      </c>
      <c r="E19" s="30" t="s">
        <v>219</v>
      </c>
      <c r="F19" s="31"/>
    </row>
    <row r="20" spans="1:13" ht="23.25" thickBot="1">
      <c r="E20" s="13"/>
      <c r="F20" s="13"/>
    </row>
    <row r="21" spans="1:13" ht="23.65" thickBot="1">
      <c r="B21" s="29" t="s">
        <v>235</v>
      </c>
      <c r="C21" s="29"/>
      <c r="D21" s="17"/>
      <c r="E21" s="17"/>
      <c r="F21" s="17"/>
      <c r="G21" s="17"/>
      <c r="H21" s="17"/>
      <c r="I21" s="17"/>
    </row>
    <row r="22" spans="1:13">
      <c r="B22" s="16"/>
      <c r="C22" s="16"/>
      <c r="D22" s="16"/>
      <c r="E22" s="16"/>
      <c r="F22" s="16"/>
      <c r="G22" s="16"/>
      <c r="H22" s="16"/>
      <c r="I22" s="16"/>
    </row>
    <row r="23" spans="1:13" ht="23.25">
      <c r="B23" s="26" t="s">
        <v>236</v>
      </c>
      <c r="C23" s="26"/>
      <c r="D23" s="1" cm="1">
        <f t="array" ref="D23">ROUND((E8-D8)/199*(D17-1),0)+D8+D10+D12-3*D15-3*G15+_xlfn.SWITCH(D18,1,0,2,1,3,2,4,3,5,3,6,4,7,5,8,6,9,6,10,6,11,7,12,8,13,9,14,9,15,9)+D19+D21</f>
        <v>246</v>
      </c>
      <c r="E23" s="1" cm="1">
        <f t="array" ref="E23">ROUND((G8-F8)/199*(D17-1),0)+F8+E10+E12-3*E15-2*G15+_xlfn.SWITCH(D18,1,0,2,1,3,2,4,3,5,3,6,4,7,5,8,6,9,6,10,6,11,7,12,8,13,9,14,9,15,9)+D19+E21</f>
        <v>235</v>
      </c>
      <c r="F23" s="1" cm="1">
        <f t="array" ref="F23">ROUND((I8-H8)/199*(D17-1),0)+H8+F10+F12-2*D15+_xlfn.SWITCH(D18,1,0,2,1,3,2,4,3,5,3,6,4,7,5,8,6,9,6,10,6,11,7,12,8,13,9,14,9,15,9)+D19+F21</f>
        <v>241</v>
      </c>
      <c r="G23" s="1" cm="1">
        <f t="array" ref="G23">ROUND((K8-J8)/199*(D17-1),0)+J8+G10+G12-2*F15+_xlfn.SWITCH(D18,1,0,2,1,3,2,4,3,5,3,6,4,7,5,8,6,9,6,10,6,11,7,12,8,13,9,14,9,15,9)+D19+G21</f>
        <v>239</v>
      </c>
      <c r="H23" s="1" cm="1">
        <f t="array" ref="H23">ROUND((M8-L8)/199*(D17-1),0)+L8+H10+H12-3*F15+_xlfn.SWITCH(D18,1,0,2,1,3,2,4,3,5,3,6,4,7,5,8,6,9,6,10,6,11,7,12,8,13,9,14,9,15,9)+D19+H21</f>
        <v>241</v>
      </c>
      <c r="I23" s="1" cm="1">
        <f t="array" ref="I23">ROUND((O8-N8)/199*(D17-1),0)+N8+I10+I12-2*E15+_xlfn.SWITCH(D18,1,0,2,1,3,2,4,3,5,3,6,4,7,5,8,6,9,6,10,6,11,7,12,8,13,9,14,9,15,9)+D19+I21</f>
        <v>237</v>
      </c>
    </row>
    <row r="24" spans="1:13" ht="23.25" thickBot="1"/>
    <row r="25" spans="1:13" ht="23.65" thickBot="1">
      <c r="C25" s="3" t="s">
        <v>277</v>
      </c>
      <c r="D25" s="7">
        <v>1</v>
      </c>
      <c r="E25" s="30" t="s">
        <v>275</v>
      </c>
      <c r="F25" s="31"/>
      <c r="G25" s="31"/>
      <c r="H25" s="31"/>
      <c r="I25" s="31"/>
      <c r="J25" s="31"/>
    </row>
    <row r="26" spans="1:13" ht="23.65" thickBot="1">
      <c r="C26" s="1" t="s">
        <v>220</v>
      </c>
      <c r="D26" s="7">
        <v>5</v>
      </c>
      <c r="E26" s="30" t="s">
        <v>221</v>
      </c>
      <c r="F26" s="31"/>
      <c r="G26" s="31"/>
      <c r="H26" s="31"/>
      <c r="I26" s="31"/>
      <c r="J26" s="31"/>
    </row>
    <row r="27" spans="1:13" ht="23.25" thickBot="1">
      <c r="E27" s="13"/>
      <c r="F27" s="13"/>
      <c r="G27" s="13"/>
      <c r="H27" s="13"/>
      <c r="I27" s="13"/>
      <c r="J27" s="13"/>
    </row>
    <row r="28" spans="1:13" ht="23.65" hidden="1" thickBot="1">
      <c r="C28" s="1" t="s">
        <v>261</v>
      </c>
      <c r="D28" s="7"/>
      <c r="E28" s="21"/>
      <c r="F28" s="22"/>
    </row>
    <row r="29" spans="1:13" ht="23.65" thickBot="1">
      <c r="C29" s="3" t="s">
        <v>272</v>
      </c>
      <c r="D29" s="7"/>
      <c r="E29" s="7"/>
      <c r="F29" s="7"/>
      <c r="G29" s="7"/>
      <c r="H29" s="7"/>
      <c r="I29" s="7"/>
    </row>
    <row r="30" spans="1:13" ht="23.25" thickBot="1"/>
    <row r="31" spans="1:13" ht="23.25" customHeight="1" thickBot="1">
      <c r="A31" s="26" t="s">
        <v>237</v>
      </c>
      <c r="B31" s="26"/>
      <c r="C31" s="26"/>
      <c r="D31" s="40" t="s">
        <v>325</v>
      </c>
      <c r="E31" s="41"/>
      <c r="F31" s="42"/>
      <c r="G31" s="31" t="s">
        <v>262</v>
      </c>
      <c r="H31" s="31"/>
      <c r="I31" s="31"/>
      <c r="J31" s="31"/>
      <c r="K31" s="31"/>
      <c r="L31" s="31"/>
      <c r="M31" s="31"/>
    </row>
    <row r="32" spans="1:13" ht="23.65" hidden="1" customHeight="1" thickBot="1">
      <c r="D32" s="1" cm="1">
        <f t="array" ref="D32">_xlfn.SWITCH(D31,"裸装",预置配装!D5,"减防最优配装",预置配装!D6,"脆弱最优配装",预置配装!D7,"[对HP+]最优配装",预置配装!D8,"[对DP+]最优配装",预置配装!D9,"无偏向攻击最优配装",预置配装!D10,"智力依存最优配装",预置配装!D11,"体力依存最优配装",预置配装!D12,"精神max最优配装",预置配装!D13,"减防最优，但红晶片用完了",预置配装!D14,"脆弱最优，但红晶片用完了",预置配装!D15)</f>
        <v>207</v>
      </c>
      <c r="E32" s="1" cm="1">
        <f t="array" ref="E32">_xlfn.SWITCH(D31,"裸装",预置配装!E5,"减防最优配装",预置配装!E6,"脆弱最优配装",预置配装!E7,"[对HP+]最优配装",预置配装!E8,"[对DP+]最优配装",预置配装!E9,"无偏向攻击最优配装",预置配装!E10,"智力依存最优配装",预置配装!E11,"体力依存最优配装",预置配装!E12,"精神max最优配装",预置配装!E13,"减防最优，但红晶片用完了",预置配装!E14,"脆弱最优，但红晶片用完了",预置配装!E15)</f>
        <v>102</v>
      </c>
      <c r="F32" s="1" cm="1">
        <f t="array" ref="F32">_xlfn.SWITCH(D31,"裸装",预置配装!F5,"减防最优配装",预置配装!F6,"脆弱最优配装",预置配装!F7,"[对HP+]最优配装",预置配装!F8,"[对DP+]最优配装",预置配装!F9,"无偏向攻击最优配装",预置配装!F10,"智力依存最优配装",预置配装!F11,"体力依存最优配装",预置配装!F12,"精神max最优配装",预置配装!F13,"减防最优，但红晶片用完了",预置配装!F14,"脆弱最优，但红晶片用完了",预置配装!F15)</f>
        <v>105</v>
      </c>
      <c r="G32" s="1" cm="1">
        <f t="array" ref="G32">_xlfn.SWITCH(D31,"裸装",预置配装!G5,"减防最优配装",预置配装!G6,"脆弱最优配装",预置配装!G7,"[对HP+]最优配装",预置配装!G8,"[对DP+]最优配装",预置配装!G9,"无偏向攻击最优配装",预置配装!G10,"智力依存最优配装",预置配装!G11,"体力依存最优配装",预置配装!G12,"精神max最优配装",预置配装!G13,"减防最优，但红晶片用完了",预置配装!G14,"脆弱最优，但红晶片用完了",预置配装!G15)</f>
        <v>105</v>
      </c>
      <c r="H32" s="1" cm="1">
        <f t="array" ref="H32">_xlfn.SWITCH(D31,"裸装",预置配装!H5,"减防最优配装",预置配装!H6,"脆弱最优配装",预置配装!H7,"[对HP+]最优配装",预置配装!H8,"[对DP+]最优配装",预置配装!H9,"无偏向攻击最优配装",预置配装!H10,"智力依存最优配装",预置配装!H11,"体力依存最优配装",预置配装!H12,"精神max最优配装",预置配装!H13,"减防最优，但红晶片用完了",预置配装!H14,"脆弱最优，但红晶片用完了",预置配装!H15)</f>
        <v>118</v>
      </c>
      <c r="I32" s="1" cm="1">
        <f t="array" ref="I32">_xlfn.SWITCH(D31,"裸装",预置配装!I5,"减防最优配装",预置配装!I6,"脆弱最优配装",预置配装!I7,"[对HP+]最优配装",预置配装!I8,"[对DP+]最优配装",预置配装!I9,"无偏向攻击最优配装",预置配装!I10,"智力依存最优配装",预置配装!I11,"体力依存最优配装",预置配装!I12,"精神max最优配装",预置配装!I13,"减防最优，但红晶片用完了",预置配装!I14,"脆弱最优，但红晶片用完了",预置配装!I15)</f>
        <v>108</v>
      </c>
    </row>
    <row r="33" spans="2:15" ht="23.65" customHeight="1" thickBot="1">
      <c r="B33" s="26" t="s">
        <v>247</v>
      </c>
      <c r="C33" s="32"/>
      <c r="D33" s="7">
        <v>5</v>
      </c>
      <c r="E33" s="30" t="s">
        <v>248</v>
      </c>
      <c r="F33" s="31"/>
      <c r="H33" s="26" t="s">
        <v>263</v>
      </c>
      <c r="I33" s="26"/>
      <c r="J33" s="7">
        <v>0</v>
      </c>
      <c r="K33" s="13" t="s">
        <v>250</v>
      </c>
      <c r="L33" s="28" t="s">
        <v>264</v>
      </c>
      <c r="M33" s="28"/>
      <c r="N33" s="28"/>
      <c r="O33" s="28"/>
    </row>
    <row r="34" spans="2:15" ht="23.65" customHeight="1" thickBot="1"/>
    <row r="35" spans="2:15" ht="23.65" customHeight="1" thickBot="1">
      <c r="C35" s="1" t="s">
        <v>224</v>
      </c>
      <c r="D35" s="7"/>
      <c r="E35" s="30" t="s">
        <v>225</v>
      </c>
      <c r="F35" s="31"/>
      <c r="L35" s="36" t="s">
        <v>278</v>
      </c>
      <c r="M35" s="36"/>
      <c r="N35" s="36"/>
      <c r="O35" s="36"/>
    </row>
    <row r="36" spans="2:15" ht="23.65" customHeight="1" thickBot="1">
      <c r="E36" s="13"/>
      <c r="F36" s="13"/>
      <c r="L36" s="36"/>
      <c r="M36" s="36"/>
      <c r="N36" s="36"/>
      <c r="O36" s="36"/>
    </row>
    <row r="37" spans="2:15" ht="23.65" customHeight="1" thickBot="1">
      <c r="B37" s="29" t="s">
        <v>246</v>
      </c>
      <c r="C37" s="29"/>
      <c r="D37" s="17"/>
      <c r="E37" s="17"/>
      <c r="F37" s="17"/>
      <c r="G37" s="17"/>
      <c r="H37" s="17"/>
      <c r="I37" s="17"/>
      <c r="L37" s="36"/>
      <c r="M37" s="36"/>
      <c r="N37" s="36"/>
      <c r="O37" s="36"/>
    </row>
    <row r="38" spans="2:15">
      <c r="L38" s="36"/>
      <c r="M38" s="36"/>
      <c r="N38" s="36"/>
      <c r="O38" s="36"/>
    </row>
    <row r="39" spans="2:15">
      <c r="B39" s="26" t="s">
        <v>222</v>
      </c>
      <c r="C39" s="35" t="s">
        <v>223</v>
      </c>
      <c r="D39" s="1" t="s">
        <v>153</v>
      </c>
      <c r="E39" s="1" t="s">
        <v>154</v>
      </c>
      <c r="F39" s="1" t="s">
        <v>157</v>
      </c>
      <c r="G39" s="1" t="s">
        <v>84</v>
      </c>
      <c r="H39" s="1" t="s">
        <v>155</v>
      </c>
      <c r="I39" s="1" t="s">
        <v>156</v>
      </c>
      <c r="L39" s="36"/>
      <c r="M39" s="36"/>
      <c r="N39" s="36"/>
      <c r="O39" s="36"/>
    </row>
    <row r="40" spans="2:15">
      <c r="B40" s="26"/>
      <c r="C40" s="26"/>
      <c r="D40" s="1" cm="1">
        <f t="array" ref="D40">_xlfn.SWITCH(D25,1,ROUNDUP(D23*(1.7+0.1*D26),0)+39+D28+D29+D32,2,ROUNDUP(D23*(1.4+0.1*D26),0)+35+D28+D29+D32,3,ROUNDUP(D23*(1.55+0.1*D26),0)+37+D28+D29+D32,4,ROUNDUP(D23*(1.7+0.1*D26),0)+39+D28+D29+D32)+IF(D31="裸装",0,_xlfn.SWITCH(D33,0,0,1,4,2,8,3,12,4,16,5,20))+D35+D37</f>
        <v>808</v>
      </c>
      <c r="E40" s="1" cm="1">
        <f t="array" ref="E40">_xlfn.SWITCH(D25,1,ROUNDUP(E23*(1.4+0.1*D26),0)+35+D28+E29+E32,2,ROUNDUP(E23*(1.7+0.1*D26),0)+39+D28+E29+E32,3,ROUNDUP(E23*(1.55+0.1*D26),0)+37+D28+E29+E32,4,ROUNDUP(E23*(1.6+0.1*D26),0)+39+D28+E29+E32)+IF(D31="裸装",0,_xlfn.SWITCH(D33,0,0,1,4,2,8,3,12,4,16,5,20))+D35+E37</f>
        <v>604</v>
      </c>
      <c r="F40" s="1" cm="1">
        <f t="array" ref="F40">_xlfn.SWITCH(D25,1,ROUNDUP(F23*(1.6+0.1*D26),0)+39+D28+F29+F32,2,ROUNDUP(F23*(1.55+0.1*D26),0)+37+D28+F29+F32,3,ROUNDUP(F23*(1.4+0.1*D26),0)+35+D28+F29+F32,4,ROUNDUP(F23*(1.5+0.1*D26),0)+37+D28+F29+F32)+IF(D31="裸装",0,_xlfn.SWITCH(D33,0,0,1,4,2,8,3,12,4,16,5,20))+D35+F37</f>
        <v>671</v>
      </c>
      <c r="G40" s="1" cm="1">
        <f t="array" ref="G40">_xlfn.SWITCH(D25,1,ROUNDUP(G23*(1.55+0.1*D26),0)+37+D28+G29+G32,2,ROUNDUP(G23*(1.5+0.1*D26),0)+35+D28+G29+G32,3,ROUNDUP(G23*(1.6+0.1*D26),0)+39+D28+G29+G32,4,ROUNDUP(G23*(1.5+0.1*D26),0)+35+D28+G29+G32)+IF(D31="裸装",0,_xlfn.SWITCH(D33,0,0,1,4,2,8,3,12,4,16,5,20))+D35+G37</f>
        <v>652</v>
      </c>
      <c r="H40" s="1" cm="1">
        <f t="array" ref="H40">_xlfn.SWITCH(D25,1,ROUNDUP(H23*(1.5+0.1*D26),0)+35+D28+H29+H32,2,ROUNDUP(H23*(1.55+0.1*D26),0)+37+D28+H29+H32,3,ROUNDUP(H23*(1.7+0.1*D26),0)+39+D28+H29+H32,4,ROUNDUP(H23*(1.45+0.1*D26),0)+35+D28+H29+H32)+IF(D31="裸装",0,_xlfn.SWITCH(D33,0,0,1,4,2,8,3,12,4,16,5,20))+D35+H37</f>
        <v>655</v>
      </c>
      <c r="I40" s="1" cm="1">
        <f t="array" ref="I40">_xlfn.SWITCH(D25,1,ROUNDUP(I23*(1.55+0.1*D26),0)+37+D28+I29+I32,2,ROUNDUP(I23*(1.6+0.1*D26),0)+39+D28+I29+I32,3,ROUNDUP(I23*(1.5+0.1*D26),0)+35+D28+I29+I32,4,ROUNDUP(I23*(1.55+0.1*D26),0)+37+D28+I29+I32)+IF(D31="裸装",0,_xlfn.SWITCH(D33,0,0,1,4,2,8,3,12,4,16,5,20))+D35+I37+IF(D31="裸装",0,J33-48)</f>
        <v>603</v>
      </c>
      <c r="L40" s="36"/>
      <c r="M40" s="36"/>
      <c r="N40" s="36"/>
      <c r="O40" s="36"/>
    </row>
    <row r="42" spans="2:15" ht="23.25">
      <c r="B42" s="26" t="s">
        <v>258</v>
      </c>
      <c r="D42" s="26" t="s">
        <v>259</v>
      </c>
      <c r="E42" s="26"/>
      <c r="F42" s="26" t="s">
        <v>260</v>
      </c>
      <c r="G42" s="26"/>
      <c r="H42" s="26" t="s">
        <v>265</v>
      </c>
      <c r="I42" s="26"/>
    </row>
    <row r="43" spans="2:15">
      <c r="B43" s="26"/>
      <c r="D43" s="26">
        <f>(D40*2+E40)/3</f>
        <v>740</v>
      </c>
      <c r="E43" s="26"/>
      <c r="F43" s="26">
        <f>(E40*2+D40)/3</f>
        <v>672</v>
      </c>
      <c r="G43" s="26"/>
      <c r="H43" s="26">
        <f>0.5*D40+0.5*E40</f>
        <v>706</v>
      </c>
      <c r="I43" s="26"/>
    </row>
    <row r="44" spans="2:15" ht="23.25">
      <c r="D44" s="26" t="s">
        <v>266</v>
      </c>
      <c r="E44" s="26"/>
      <c r="F44" s="26" t="s">
        <v>267</v>
      </c>
      <c r="G44" s="26"/>
    </row>
    <row r="45" spans="2:15">
      <c r="D45" s="26">
        <f>(H40*2+I40)/3</f>
        <v>637.66666666666663</v>
      </c>
      <c r="E45" s="26"/>
      <c r="F45" s="26">
        <f>(I40*2+H40)/3</f>
        <v>620.33333333333337</v>
      </c>
      <c r="G45" s="26"/>
    </row>
    <row r="46" spans="2:15" ht="22.9" customHeight="1"/>
  </sheetData>
  <mergeCells count="38">
    <mergeCell ref="K2:O3"/>
    <mergeCell ref="E25:J25"/>
    <mergeCell ref="B39:B40"/>
    <mergeCell ref="C39:C40"/>
    <mergeCell ref="H15:K15"/>
    <mergeCell ref="E26:J26"/>
    <mergeCell ref="A14:C15"/>
    <mergeCell ref="E19:F19"/>
    <mergeCell ref="E18:F18"/>
    <mergeCell ref="B21:C21"/>
    <mergeCell ref="B23:C23"/>
    <mergeCell ref="E35:F35"/>
    <mergeCell ref="A31:C31"/>
    <mergeCell ref="D31:F31"/>
    <mergeCell ref="H33:I33"/>
    <mergeCell ref="G31:M31"/>
    <mergeCell ref="L33:O33"/>
    <mergeCell ref="B37:C37"/>
    <mergeCell ref="E33:F33"/>
    <mergeCell ref="B33:C33"/>
    <mergeCell ref="G5:J5"/>
    <mergeCell ref="D6:E6"/>
    <mergeCell ref="E5:F5"/>
    <mergeCell ref="C9:C10"/>
    <mergeCell ref="C11:C12"/>
    <mergeCell ref="L35:O40"/>
    <mergeCell ref="A2:J3"/>
    <mergeCell ref="H42:I42"/>
    <mergeCell ref="D44:E44"/>
    <mergeCell ref="F44:G44"/>
    <mergeCell ref="D43:E43"/>
    <mergeCell ref="F43:G43"/>
    <mergeCell ref="H43:I43"/>
    <mergeCell ref="D45:E45"/>
    <mergeCell ref="F45:G45"/>
    <mergeCell ref="B42:B43"/>
    <mergeCell ref="D42:E42"/>
    <mergeCell ref="F42:G42"/>
  </mergeCells>
  <phoneticPr fontId="2" type="noConversion"/>
  <dataValidations count="1">
    <dataValidation type="list" showInputMessage="1" showErrorMessage="1" sqref="D31" xr:uid="{4F48F027-EC6C-4923-AFD5-A3AE2856ADE2}">
      <formula1>pre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30564-40E7-4A0B-AE3F-298B222B38FC}">
  <dimension ref="A1:L93"/>
  <sheetViews>
    <sheetView workbookViewId="0">
      <pane ySplit="1" topLeftCell="A2" activePane="bottomLeft" state="frozen"/>
      <selection pane="bottomLeft" activeCell="A76" sqref="A76"/>
    </sheetView>
  </sheetViews>
  <sheetFormatPr defaultRowHeight="22.9"/>
  <cols>
    <col min="1" max="1" width="9.0390625" style="1" customWidth="1"/>
    <col min="2" max="2" width="27.5390625" style="1" customWidth="1"/>
    <col min="3" max="4" width="8.5390625" style="1" customWidth="1"/>
    <col min="5" max="8" width="8.5390625" style="6" customWidth="1"/>
    <col min="9" max="37" width="8.5390625" style="1" customWidth="1"/>
    <col min="38" max="16384" width="8.6640625" style="1"/>
  </cols>
  <sheetData>
    <row r="1" spans="1:12" ht="23.25">
      <c r="A1" s="1" t="s">
        <v>0</v>
      </c>
      <c r="B1" s="1" t="s">
        <v>1</v>
      </c>
      <c r="C1" s="26" t="s">
        <v>94</v>
      </c>
      <c r="D1" s="26"/>
      <c r="E1" s="6" t="s">
        <v>279</v>
      </c>
      <c r="F1" s="6" t="s">
        <v>280</v>
      </c>
      <c r="G1" s="6" t="s">
        <v>281</v>
      </c>
      <c r="H1" s="6" t="s">
        <v>282</v>
      </c>
      <c r="I1" s="26" t="s">
        <v>283</v>
      </c>
      <c r="J1" s="26"/>
      <c r="K1" s="26"/>
      <c r="L1" s="26"/>
    </row>
    <row r="2" spans="1:12" ht="23.25">
      <c r="A2" s="1">
        <v>44000002</v>
      </c>
      <c r="B2" s="1" t="s">
        <v>2</v>
      </c>
      <c r="C2" s="26" t="s">
        <v>95</v>
      </c>
      <c r="D2" s="26"/>
      <c r="E2" s="2">
        <v>6</v>
      </c>
      <c r="G2" s="25">
        <v>2</v>
      </c>
      <c r="I2" s="26" t="s">
        <v>303</v>
      </c>
      <c r="J2" s="26"/>
      <c r="K2" s="26"/>
      <c r="L2" s="26"/>
    </row>
    <row r="3" spans="1:12" ht="23.25">
      <c r="A3" s="1">
        <v>44000003</v>
      </c>
      <c r="B3" s="1" t="s">
        <v>3</v>
      </c>
      <c r="C3" s="26" t="s">
        <v>96</v>
      </c>
      <c r="D3" s="26"/>
      <c r="F3" s="6">
        <v>6</v>
      </c>
      <c r="I3" s="26"/>
      <c r="J3" s="26"/>
      <c r="K3" s="26"/>
      <c r="L3" s="26"/>
    </row>
    <row r="4" spans="1:12" ht="23.25">
      <c r="A4" s="1">
        <v>44000004</v>
      </c>
      <c r="B4" s="1" t="s">
        <v>4</v>
      </c>
      <c r="C4" s="26" t="s">
        <v>97</v>
      </c>
      <c r="D4" s="26"/>
      <c r="G4" s="2">
        <v>6</v>
      </c>
      <c r="I4" s="26"/>
      <c r="J4" s="26"/>
      <c r="K4" s="26"/>
      <c r="L4" s="26"/>
    </row>
    <row r="5" spans="1:12" ht="23.25">
      <c r="A5" s="1">
        <v>44000005</v>
      </c>
      <c r="B5" s="1" t="s">
        <v>5</v>
      </c>
      <c r="C5" s="26" t="s">
        <v>98</v>
      </c>
      <c r="D5" s="26"/>
      <c r="E5" s="6">
        <v>5</v>
      </c>
      <c r="H5" s="6">
        <v>1</v>
      </c>
      <c r="I5" s="26" t="s">
        <v>284</v>
      </c>
      <c r="J5" s="26"/>
      <c r="K5" s="26"/>
      <c r="L5" s="26"/>
    </row>
    <row r="6" spans="1:12" ht="23.25">
      <c r="A6" s="1">
        <v>44000006</v>
      </c>
      <c r="B6" s="1" t="s">
        <v>6</v>
      </c>
      <c r="C6" s="26" t="s">
        <v>99</v>
      </c>
      <c r="D6" s="26"/>
      <c r="E6" s="6">
        <v>5</v>
      </c>
      <c r="H6" s="6">
        <v>1</v>
      </c>
      <c r="I6" s="26"/>
      <c r="J6" s="26"/>
      <c r="K6" s="26"/>
      <c r="L6" s="26"/>
    </row>
    <row r="7" spans="1:12" ht="23.25">
      <c r="A7" s="1">
        <v>44000007</v>
      </c>
      <c r="B7" s="1" t="s">
        <v>7</v>
      </c>
      <c r="C7" s="26" t="s">
        <v>100</v>
      </c>
      <c r="D7" s="26"/>
      <c r="G7" s="2">
        <v>6</v>
      </c>
      <c r="I7" s="26"/>
      <c r="J7" s="26"/>
      <c r="K7" s="26"/>
      <c r="L7" s="26"/>
    </row>
    <row r="8" spans="1:12" ht="23.25">
      <c r="A8" s="1">
        <v>44000008</v>
      </c>
      <c r="B8" s="1" t="s">
        <v>8</v>
      </c>
      <c r="C8" s="26" t="s">
        <v>101</v>
      </c>
      <c r="D8" s="26"/>
      <c r="F8" s="6">
        <v>3</v>
      </c>
      <c r="G8" s="2">
        <v>3</v>
      </c>
      <c r="I8" s="26" t="s">
        <v>305</v>
      </c>
      <c r="J8" s="26"/>
      <c r="K8" s="26"/>
      <c r="L8" s="26"/>
    </row>
    <row r="9" spans="1:12" ht="23.25">
      <c r="A9" s="14">
        <v>44000009</v>
      </c>
      <c r="B9" s="14" t="s">
        <v>9</v>
      </c>
      <c r="C9" s="43" t="s">
        <v>102</v>
      </c>
      <c r="D9" s="43"/>
      <c r="E9" s="6">
        <v>1</v>
      </c>
      <c r="G9" s="2">
        <v>5</v>
      </c>
      <c r="I9" s="26" t="s">
        <v>285</v>
      </c>
      <c r="J9" s="26"/>
      <c r="K9" s="26"/>
      <c r="L9" s="26"/>
    </row>
    <row r="10" spans="1:12" ht="23.25">
      <c r="A10" s="14">
        <v>44000010</v>
      </c>
      <c r="B10" s="14" t="s">
        <v>10</v>
      </c>
      <c r="C10" s="43" t="s">
        <v>103</v>
      </c>
      <c r="D10" s="43"/>
      <c r="E10" s="6">
        <v>3</v>
      </c>
      <c r="G10" s="2">
        <v>1</v>
      </c>
      <c r="I10" s="26" t="s">
        <v>286</v>
      </c>
      <c r="J10" s="26"/>
      <c r="K10" s="26"/>
      <c r="L10" s="26"/>
    </row>
    <row r="11" spans="1:12" ht="23.25">
      <c r="A11" s="14">
        <v>44000011</v>
      </c>
      <c r="B11" s="14" t="s">
        <v>11</v>
      </c>
      <c r="C11" s="43" t="s">
        <v>104</v>
      </c>
      <c r="D11" s="43"/>
      <c r="E11" s="6">
        <v>2</v>
      </c>
      <c r="F11" s="2">
        <v>2</v>
      </c>
      <c r="I11" s="26" t="s">
        <v>287</v>
      </c>
      <c r="J11" s="26"/>
      <c r="K11" s="26"/>
      <c r="L11" s="26"/>
    </row>
    <row r="12" spans="1:12" ht="23.25">
      <c r="A12" s="14">
        <v>44000012</v>
      </c>
      <c r="B12" s="14" t="s">
        <v>12</v>
      </c>
      <c r="C12" s="43" t="s">
        <v>105</v>
      </c>
      <c r="D12" s="43"/>
      <c r="G12" s="6">
        <v>4</v>
      </c>
      <c r="I12" s="26"/>
      <c r="J12" s="26"/>
      <c r="K12" s="26"/>
      <c r="L12" s="26"/>
    </row>
    <row r="13" spans="1:12" ht="23.25">
      <c r="A13" s="14">
        <v>44000013</v>
      </c>
      <c r="B13" s="14" t="s">
        <v>13</v>
      </c>
      <c r="C13" s="43" t="s">
        <v>106</v>
      </c>
      <c r="D13" s="43"/>
      <c r="E13" s="6">
        <v>1</v>
      </c>
      <c r="F13" s="6">
        <v>2</v>
      </c>
      <c r="G13" s="6">
        <v>1</v>
      </c>
      <c r="I13" s="26" t="s">
        <v>288</v>
      </c>
      <c r="J13" s="26"/>
      <c r="K13" s="26"/>
      <c r="L13" s="26"/>
    </row>
    <row r="15" spans="1:12" ht="23.25">
      <c r="A15" s="14">
        <v>44000015</v>
      </c>
      <c r="B15" s="14" t="s">
        <v>14</v>
      </c>
      <c r="C15" s="43" t="s">
        <v>107</v>
      </c>
      <c r="D15" s="43"/>
      <c r="E15" s="6">
        <v>2</v>
      </c>
      <c r="F15" s="2">
        <v>1</v>
      </c>
      <c r="I15" s="46" t="s">
        <v>312</v>
      </c>
      <c r="J15" s="26"/>
      <c r="K15" s="26"/>
      <c r="L15" s="26"/>
    </row>
    <row r="16" spans="1:12" ht="23.25">
      <c r="A16" s="1">
        <v>44000016</v>
      </c>
      <c r="B16" s="1" t="s">
        <v>15</v>
      </c>
      <c r="C16" s="26" t="s">
        <v>108</v>
      </c>
      <c r="D16" s="26"/>
      <c r="E16" s="6">
        <v>5</v>
      </c>
      <c r="G16" s="2">
        <v>1</v>
      </c>
      <c r="I16" s="26" t="s">
        <v>296</v>
      </c>
      <c r="J16" s="26"/>
      <c r="K16" s="26"/>
      <c r="L16" s="26"/>
    </row>
    <row r="17" spans="1:12" ht="23.25">
      <c r="A17" s="1">
        <v>44000017</v>
      </c>
      <c r="B17" s="1" t="s">
        <v>16</v>
      </c>
      <c r="C17" s="26" t="s">
        <v>109</v>
      </c>
      <c r="D17" s="26"/>
      <c r="E17" s="6">
        <v>3</v>
      </c>
      <c r="I17" s="26"/>
      <c r="J17" s="26"/>
      <c r="K17" s="26"/>
      <c r="L17" s="26"/>
    </row>
    <row r="18" spans="1:12" ht="23.25">
      <c r="A18" s="1">
        <v>44000018</v>
      </c>
      <c r="B18" s="1" t="s">
        <v>17</v>
      </c>
      <c r="C18" s="26" t="s">
        <v>110</v>
      </c>
      <c r="D18" s="26"/>
      <c r="E18" s="6">
        <v>1</v>
      </c>
      <c r="F18" s="6">
        <v>2</v>
      </c>
      <c r="G18" s="6">
        <v>1</v>
      </c>
      <c r="I18" s="26" t="s">
        <v>289</v>
      </c>
      <c r="J18" s="26"/>
      <c r="K18" s="26"/>
      <c r="L18" s="26"/>
    </row>
    <row r="19" spans="1:12" ht="23.25">
      <c r="A19" s="1">
        <v>44000019</v>
      </c>
      <c r="B19" s="1" t="s">
        <v>18</v>
      </c>
      <c r="C19" s="26" t="s">
        <v>111</v>
      </c>
      <c r="D19" s="26"/>
      <c r="E19" s="6">
        <v>2</v>
      </c>
      <c r="G19" s="6">
        <v>2</v>
      </c>
      <c r="I19" s="26" t="s">
        <v>290</v>
      </c>
      <c r="J19" s="26"/>
      <c r="K19" s="26"/>
      <c r="L19" s="26"/>
    </row>
    <row r="20" spans="1:12" ht="23.25">
      <c r="A20" s="1">
        <v>44000020</v>
      </c>
      <c r="B20" s="1" t="s">
        <v>19</v>
      </c>
      <c r="C20" s="26" t="s">
        <v>112</v>
      </c>
      <c r="D20" s="26"/>
      <c r="E20" s="6">
        <v>1</v>
      </c>
      <c r="F20" s="6">
        <v>2</v>
      </c>
      <c r="G20" s="2">
        <v>2</v>
      </c>
      <c r="I20" s="26" t="s">
        <v>308</v>
      </c>
      <c r="J20" s="26"/>
      <c r="K20" s="26"/>
      <c r="L20" s="26"/>
    </row>
    <row r="21" spans="1:12" ht="23.25">
      <c r="A21" s="1">
        <v>44000021</v>
      </c>
      <c r="B21" s="1" t="s">
        <v>20</v>
      </c>
      <c r="C21" s="26" t="s">
        <v>113</v>
      </c>
      <c r="D21" s="26"/>
      <c r="E21" s="6">
        <v>2</v>
      </c>
      <c r="F21" s="6">
        <v>1</v>
      </c>
      <c r="I21" s="26" t="s">
        <v>291</v>
      </c>
      <c r="J21" s="26"/>
      <c r="K21" s="26"/>
      <c r="L21" s="26"/>
    </row>
    <row r="22" spans="1:12" ht="23.25">
      <c r="A22" s="14">
        <v>44000022</v>
      </c>
      <c r="B22" s="14" t="s">
        <v>21</v>
      </c>
      <c r="C22" s="43" t="s">
        <v>114</v>
      </c>
      <c r="D22" s="43"/>
      <c r="E22" s="6">
        <v>2</v>
      </c>
      <c r="G22" s="6">
        <v>3</v>
      </c>
      <c r="I22" s="26" t="s">
        <v>151</v>
      </c>
      <c r="J22" s="26"/>
      <c r="K22" s="26"/>
      <c r="L22" s="26"/>
    </row>
    <row r="23" spans="1:12" ht="23.25">
      <c r="A23" s="14">
        <v>44000023</v>
      </c>
      <c r="B23" s="14" t="s">
        <v>22</v>
      </c>
      <c r="C23" s="43" t="s">
        <v>115</v>
      </c>
      <c r="D23" s="43"/>
      <c r="E23" s="6">
        <v>1</v>
      </c>
      <c r="G23" s="6">
        <v>3</v>
      </c>
      <c r="I23" s="26" t="s">
        <v>292</v>
      </c>
      <c r="J23" s="26"/>
      <c r="K23" s="26"/>
      <c r="L23" s="26"/>
    </row>
    <row r="24" spans="1:12" ht="29.25">
      <c r="A24" s="14">
        <v>44000024</v>
      </c>
      <c r="B24" s="14" t="s">
        <v>23</v>
      </c>
      <c r="C24" s="43" t="s">
        <v>116</v>
      </c>
      <c r="D24" s="43"/>
      <c r="E24" s="2">
        <v>5</v>
      </c>
      <c r="F24" s="2">
        <v>1</v>
      </c>
      <c r="I24" s="26" t="s">
        <v>306</v>
      </c>
      <c r="J24" s="26"/>
      <c r="K24" s="26"/>
      <c r="L24" s="26"/>
    </row>
    <row r="25" spans="1:12" ht="23.25">
      <c r="A25" s="14">
        <v>44000025</v>
      </c>
      <c r="B25" s="14" t="s">
        <v>24</v>
      </c>
      <c r="C25" s="43" t="s">
        <v>117</v>
      </c>
      <c r="D25" s="43"/>
      <c r="E25" s="6">
        <v>4</v>
      </c>
      <c r="G25" s="2">
        <v>1</v>
      </c>
      <c r="I25" s="26" t="s">
        <v>293</v>
      </c>
      <c r="J25" s="26"/>
      <c r="K25" s="26"/>
      <c r="L25" s="26"/>
    </row>
    <row r="26" spans="1:12" ht="23.25">
      <c r="A26" s="14">
        <v>44000026</v>
      </c>
      <c r="B26" s="14" t="s">
        <v>25</v>
      </c>
      <c r="C26" s="43" t="s">
        <v>118</v>
      </c>
      <c r="D26" s="43"/>
      <c r="F26" s="6">
        <v>1</v>
      </c>
      <c r="G26" s="6">
        <v>3</v>
      </c>
      <c r="I26" s="26" t="s">
        <v>294</v>
      </c>
      <c r="J26" s="26"/>
      <c r="K26" s="26"/>
      <c r="L26" s="26"/>
    </row>
    <row r="34" spans="1:12" ht="23.25">
      <c r="A34" s="14">
        <v>44000034</v>
      </c>
      <c r="B34" s="15" t="s">
        <v>26</v>
      </c>
      <c r="C34" s="44" t="s">
        <v>270</v>
      </c>
      <c r="D34" s="44"/>
      <c r="E34" s="2">
        <v>1</v>
      </c>
      <c r="I34" s="26"/>
      <c r="J34" s="26"/>
      <c r="K34" s="26"/>
      <c r="L34" s="26"/>
    </row>
    <row r="35" spans="1:12" ht="23.25">
      <c r="A35" s="14">
        <v>44000035</v>
      </c>
      <c r="B35" s="15" t="s">
        <v>27</v>
      </c>
      <c r="C35" s="44" t="s">
        <v>119</v>
      </c>
      <c r="D35" s="44"/>
      <c r="E35" s="6">
        <v>1</v>
      </c>
      <c r="G35" s="2">
        <v>1</v>
      </c>
      <c r="I35" s="26" t="s">
        <v>304</v>
      </c>
      <c r="J35" s="26"/>
      <c r="K35" s="26"/>
      <c r="L35" s="26"/>
    </row>
    <row r="36" spans="1:12" ht="23.25">
      <c r="A36" s="14">
        <v>44000036</v>
      </c>
      <c r="B36" s="14" t="s">
        <v>28</v>
      </c>
      <c r="C36" s="43" t="s">
        <v>120</v>
      </c>
      <c r="D36" s="43"/>
      <c r="E36" s="6">
        <v>1</v>
      </c>
      <c r="F36" s="6">
        <v>3</v>
      </c>
      <c r="I36" s="26" t="s">
        <v>295</v>
      </c>
      <c r="J36" s="26"/>
      <c r="K36" s="26"/>
      <c r="L36" s="26"/>
    </row>
    <row r="37" spans="1:12" ht="23.25">
      <c r="A37" s="1">
        <v>44000037</v>
      </c>
      <c r="B37" s="2" t="s">
        <v>29</v>
      </c>
      <c r="C37" s="38" t="s">
        <v>271</v>
      </c>
      <c r="D37" s="38"/>
      <c r="I37" s="26"/>
      <c r="J37" s="26"/>
      <c r="K37" s="26"/>
      <c r="L37" s="26"/>
    </row>
    <row r="38" spans="1:12" ht="23.25">
      <c r="A38" s="1">
        <v>44000038</v>
      </c>
      <c r="B38" s="1" t="s">
        <v>30</v>
      </c>
      <c r="C38" s="26" t="s">
        <v>121</v>
      </c>
      <c r="D38" s="26"/>
      <c r="E38" s="6">
        <v>2</v>
      </c>
      <c r="G38" s="2">
        <v>2</v>
      </c>
      <c r="I38" s="26" t="s">
        <v>307</v>
      </c>
      <c r="J38" s="26"/>
      <c r="K38" s="26"/>
      <c r="L38" s="26"/>
    </row>
    <row r="39" spans="1:12" ht="23.25">
      <c r="A39" s="1">
        <v>44000039</v>
      </c>
      <c r="B39" s="1" t="s">
        <v>31</v>
      </c>
      <c r="C39" s="26" t="s">
        <v>122</v>
      </c>
      <c r="D39" s="26"/>
      <c r="G39" s="6">
        <v>3</v>
      </c>
      <c r="I39" s="26"/>
      <c r="J39" s="26"/>
      <c r="K39" s="26"/>
      <c r="L39" s="26"/>
    </row>
    <row r="40" spans="1:12" ht="23.25">
      <c r="A40" s="1">
        <v>44000040</v>
      </c>
      <c r="B40" s="1" t="s">
        <v>32</v>
      </c>
      <c r="C40" s="26" t="s">
        <v>123</v>
      </c>
      <c r="D40" s="26"/>
      <c r="E40" s="6">
        <v>1</v>
      </c>
      <c r="F40" s="6">
        <v>1</v>
      </c>
      <c r="I40" s="26"/>
      <c r="J40" s="26"/>
      <c r="K40" s="26"/>
      <c r="L40" s="26"/>
    </row>
    <row r="41" spans="1:12" ht="23.25">
      <c r="A41" s="1">
        <v>44000041</v>
      </c>
      <c r="B41" s="1" t="s">
        <v>33</v>
      </c>
      <c r="C41" s="26" t="s">
        <v>124</v>
      </c>
      <c r="D41" s="26"/>
      <c r="G41" s="6">
        <v>3</v>
      </c>
      <c r="I41" s="26"/>
      <c r="J41" s="26"/>
      <c r="K41" s="26"/>
      <c r="L41" s="26"/>
    </row>
    <row r="42" spans="1:12" ht="23.25">
      <c r="A42" s="1">
        <v>44000042</v>
      </c>
      <c r="B42" s="1" t="s">
        <v>34</v>
      </c>
      <c r="C42" s="26" t="s">
        <v>125</v>
      </c>
      <c r="D42" s="26"/>
      <c r="F42" s="6">
        <v>3</v>
      </c>
      <c r="G42" s="6">
        <v>1</v>
      </c>
      <c r="I42" s="26" t="s">
        <v>310</v>
      </c>
      <c r="J42" s="26"/>
      <c r="K42" s="26"/>
      <c r="L42" s="26"/>
    </row>
    <row r="43" spans="1:12" ht="23.25">
      <c r="A43" s="1">
        <v>44000043</v>
      </c>
      <c r="B43" s="1" t="s">
        <v>35</v>
      </c>
      <c r="C43" s="26" t="s">
        <v>126</v>
      </c>
      <c r="D43" s="26"/>
      <c r="F43" s="6">
        <v>1</v>
      </c>
      <c r="G43" s="6">
        <v>3</v>
      </c>
      <c r="I43" s="26" t="s">
        <v>294</v>
      </c>
      <c r="J43" s="26"/>
      <c r="K43" s="26"/>
      <c r="L43" s="26"/>
    </row>
    <row r="44" spans="1:12" ht="23.25">
      <c r="A44" s="14">
        <v>44000044</v>
      </c>
      <c r="B44" s="14" t="s">
        <v>36</v>
      </c>
      <c r="C44" s="43" t="s">
        <v>37</v>
      </c>
      <c r="D44" s="43"/>
      <c r="E44" s="6">
        <v>1</v>
      </c>
      <c r="G44" s="6">
        <v>2</v>
      </c>
      <c r="I44" s="26" t="s">
        <v>297</v>
      </c>
      <c r="J44" s="26"/>
      <c r="K44" s="26"/>
      <c r="L44" s="26"/>
    </row>
    <row r="45" spans="1:12" ht="23.25">
      <c r="A45" s="14">
        <v>44000045</v>
      </c>
      <c r="B45" s="14" t="s">
        <v>38</v>
      </c>
      <c r="C45" s="43" t="s">
        <v>39</v>
      </c>
      <c r="D45" s="43"/>
      <c r="E45" s="6">
        <v>2</v>
      </c>
      <c r="F45" s="6">
        <v>1</v>
      </c>
      <c r="I45" s="26" t="s">
        <v>294</v>
      </c>
      <c r="J45" s="26"/>
      <c r="K45" s="26"/>
      <c r="L45" s="26"/>
    </row>
    <row r="46" spans="1:12" ht="23.25">
      <c r="A46" s="14">
        <v>44000046</v>
      </c>
      <c r="B46" s="14" t="s">
        <v>40</v>
      </c>
      <c r="C46" s="43" t="s">
        <v>41</v>
      </c>
      <c r="D46" s="43"/>
      <c r="E46" s="6">
        <v>1</v>
      </c>
      <c r="F46" s="2">
        <v>1</v>
      </c>
      <c r="G46" s="6">
        <v>1</v>
      </c>
      <c r="I46" s="26" t="s">
        <v>298</v>
      </c>
      <c r="J46" s="26"/>
      <c r="K46" s="26"/>
      <c r="L46" s="26"/>
    </row>
    <row r="47" spans="1:12" ht="23.25">
      <c r="A47" s="14">
        <v>44000047</v>
      </c>
      <c r="B47" s="14" t="s">
        <v>42</v>
      </c>
      <c r="C47" s="43" t="s">
        <v>43</v>
      </c>
      <c r="D47" s="43"/>
      <c r="G47" s="6">
        <v>3</v>
      </c>
      <c r="I47" s="26"/>
      <c r="J47" s="26"/>
      <c r="K47" s="26"/>
      <c r="L47" s="26"/>
    </row>
    <row r="48" spans="1:12" ht="23.25">
      <c r="A48" s="14">
        <v>44000048</v>
      </c>
      <c r="B48" s="14" t="s">
        <v>44</v>
      </c>
      <c r="C48" s="43" t="s">
        <v>45</v>
      </c>
      <c r="D48" s="43"/>
      <c r="F48" s="6">
        <v>1</v>
      </c>
      <c r="G48" s="2">
        <v>3</v>
      </c>
      <c r="I48" s="26" t="s">
        <v>294</v>
      </c>
      <c r="J48" s="26"/>
      <c r="K48" s="26"/>
      <c r="L48" s="26"/>
    </row>
    <row r="49" spans="1:12" ht="23.25">
      <c r="A49" s="14">
        <v>44000049</v>
      </c>
      <c r="B49" s="14" t="s">
        <v>46</v>
      </c>
      <c r="C49" s="43" t="s">
        <v>47</v>
      </c>
      <c r="D49" s="43"/>
      <c r="G49" s="6">
        <v>3</v>
      </c>
      <c r="I49" s="26"/>
      <c r="J49" s="26"/>
      <c r="K49" s="26"/>
      <c r="L49" s="26"/>
    </row>
    <row r="50" spans="1:12" ht="23.25">
      <c r="A50" s="1">
        <v>44000050</v>
      </c>
      <c r="B50" s="1" t="s">
        <v>48</v>
      </c>
      <c r="C50" s="26" t="s">
        <v>49</v>
      </c>
      <c r="D50" s="26"/>
      <c r="G50" s="6">
        <v>3</v>
      </c>
      <c r="I50" s="26"/>
      <c r="J50" s="26"/>
      <c r="K50" s="26"/>
      <c r="L50" s="26"/>
    </row>
    <row r="51" spans="1:12" ht="23.25">
      <c r="A51" s="1">
        <v>44000051</v>
      </c>
      <c r="B51" s="1" t="s">
        <v>50</v>
      </c>
      <c r="C51" s="26" t="s">
        <v>51</v>
      </c>
      <c r="D51" s="26"/>
      <c r="E51" s="6">
        <v>1</v>
      </c>
      <c r="F51" s="6">
        <v>1</v>
      </c>
      <c r="G51" s="2">
        <v>1</v>
      </c>
      <c r="I51" s="26" t="s">
        <v>299</v>
      </c>
      <c r="J51" s="26"/>
      <c r="K51" s="26"/>
      <c r="L51" s="26"/>
    </row>
    <row r="52" spans="1:12" ht="23.25">
      <c r="A52" s="1">
        <v>44000052</v>
      </c>
      <c r="B52" s="1" t="s">
        <v>52</v>
      </c>
      <c r="C52" s="26" t="s">
        <v>53</v>
      </c>
      <c r="D52" s="26"/>
      <c r="G52" s="6">
        <v>2</v>
      </c>
      <c r="I52" s="26"/>
      <c r="J52" s="26"/>
      <c r="K52" s="26"/>
      <c r="L52" s="26"/>
    </row>
    <row r="53" spans="1:12" ht="23.25">
      <c r="A53" s="1">
        <v>44000053</v>
      </c>
      <c r="B53" s="1" t="s">
        <v>54</v>
      </c>
      <c r="C53" s="26" t="s">
        <v>55</v>
      </c>
      <c r="D53" s="26"/>
      <c r="E53" s="6">
        <v>3</v>
      </c>
      <c r="I53" s="26"/>
      <c r="J53" s="26"/>
      <c r="K53" s="26"/>
      <c r="L53" s="26"/>
    </row>
    <row r="54" spans="1:12" ht="23.25">
      <c r="A54" s="1">
        <v>44000054</v>
      </c>
      <c r="B54" s="1" t="s">
        <v>56</v>
      </c>
      <c r="C54" s="26" t="s">
        <v>57</v>
      </c>
      <c r="D54" s="26"/>
      <c r="E54" s="2">
        <v>4</v>
      </c>
      <c r="I54" s="26"/>
      <c r="J54" s="26"/>
      <c r="K54" s="26"/>
      <c r="L54" s="26"/>
    </row>
    <row r="55" spans="1:12" ht="23.25">
      <c r="A55" s="1">
        <v>44000055</v>
      </c>
      <c r="B55" s="1" t="s">
        <v>58</v>
      </c>
      <c r="C55" s="26" t="s">
        <v>59</v>
      </c>
      <c r="D55" s="26"/>
      <c r="E55" s="6">
        <v>1</v>
      </c>
      <c r="F55" s="6">
        <v>1</v>
      </c>
      <c r="G55" s="6">
        <v>1</v>
      </c>
      <c r="I55" s="26" t="s">
        <v>311</v>
      </c>
      <c r="J55" s="26"/>
      <c r="K55" s="26"/>
      <c r="L55" s="26"/>
    </row>
    <row r="56" spans="1:12" ht="29.25">
      <c r="A56" s="14">
        <v>44000056</v>
      </c>
      <c r="B56" s="14" t="s">
        <v>60</v>
      </c>
      <c r="C56" s="43" t="s">
        <v>61</v>
      </c>
      <c r="D56" s="43"/>
      <c r="E56" s="6">
        <v>2</v>
      </c>
      <c r="G56" s="2">
        <v>2</v>
      </c>
      <c r="I56" s="26" t="s">
        <v>309</v>
      </c>
      <c r="J56" s="26"/>
      <c r="K56" s="26"/>
      <c r="L56" s="26"/>
    </row>
    <row r="57" spans="1:12" ht="23.25">
      <c r="A57" s="14">
        <v>44000057</v>
      </c>
      <c r="B57" s="14" t="s">
        <v>62</v>
      </c>
      <c r="C57" s="43" t="s">
        <v>63</v>
      </c>
      <c r="D57" s="43"/>
      <c r="G57" s="6">
        <v>4</v>
      </c>
      <c r="I57" s="26"/>
      <c r="J57" s="26"/>
      <c r="K57" s="26"/>
      <c r="L57" s="26"/>
    </row>
    <row r="58" spans="1:12" ht="29.25">
      <c r="A58" s="14">
        <v>44000058</v>
      </c>
      <c r="B58" s="14" t="s">
        <v>64</v>
      </c>
      <c r="C58" s="43" t="s">
        <v>65</v>
      </c>
      <c r="D58" s="43"/>
      <c r="E58" s="2">
        <v>1</v>
      </c>
      <c r="F58" s="6">
        <v>2</v>
      </c>
      <c r="G58" s="6">
        <v>1</v>
      </c>
      <c r="I58" s="26" t="s">
        <v>300</v>
      </c>
      <c r="J58" s="26"/>
      <c r="K58" s="26"/>
      <c r="L58" s="26"/>
    </row>
    <row r="59" spans="1:12" ht="29.25">
      <c r="A59" s="14">
        <v>44000059</v>
      </c>
      <c r="B59" s="14" t="s">
        <v>66</v>
      </c>
      <c r="C59" s="43" t="s">
        <v>67</v>
      </c>
      <c r="D59" s="43"/>
      <c r="G59" s="6">
        <v>3</v>
      </c>
      <c r="I59" s="26"/>
      <c r="J59" s="26"/>
      <c r="K59" s="26"/>
      <c r="L59" s="26"/>
    </row>
    <row r="60" spans="1:12" ht="29.25">
      <c r="A60" s="14">
        <v>44000060</v>
      </c>
      <c r="B60" s="14" t="s">
        <v>68</v>
      </c>
      <c r="C60" s="45" t="s">
        <v>152</v>
      </c>
      <c r="D60" s="45"/>
      <c r="G60" s="2">
        <v>4</v>
      </c>
      <c r="I60" s="26"/>
      <c r="J60" s="26"/>
      <c r="K60" s="26"/>
      <c r="L60" s="26"/>
    </row>
    <row r="61" spans="1:12" ht="29.25">
      <c r="A61" s="14">
        <v>44000061</v>
      </c>
      <c r="B61" s="14" t="s">
        <v>70</v>
      </c>
      <c r="C61" s="43" t="s">
        <v>71</v>
      </c>
      <c r="D61" s="43"/>
      <c r="F61" s="6">
        <v>2</v>
      </c>
      <c r="G61" s="2">
        <v>2</v>
      </c>
      <c r="I61" s="26" t="s">
        <v>301</v>
      </c>
      <c r="J61" s="26"/>
      <c r="K61" s="26"/>
      <c r="L61" s="26"/>
    </row>
    <row r="62" spans="1:12" ht="23.25">
      <c r="A62" s="1">
        <v>44000062</v>
      </c>
      <c r="B62" s="1" t="s">
        <v>72</v>
      </c>
      <c r="C62" s="26" t="s">
        <v>127</v>
      </c>
      <c r="D62" s="26"/>
      <c r="E62" s="6">
        <v>2</v>
      </c>
      <c r="I62" s="26"/>
      <c r="J62" s="26"/>
      <c r="K62" s="26"/>
      <c r="L62" s="26"/>
    </row>
    <row r="63" spans="1:12" ht="23.25">
      <c r="A63" s="1">
        <v>44000063</v>
      </c>
      <c r="B63" s="1" t="s">
        <v>73</v>
      </c>
      <c r="C63" s="26" t="s">
        <v>128</v>
      </c>
      <c r="D63" s="26"/>
      <c r="E63" s="6">
        <v>1</v>
      </c>
      <c r="F63" s="6">
        <v>1</v>
      </c>
      <c r="I63" s="26" t="s">
        <v>302</v>
      </c>
      <c r="J63" s="26"/>
      <c r="K63" s="26"/>
      <c r="L63" s="26"/>
    </row>
    <row r="64" spans="1:12" ht="23.25">
      <c r="A64" s="1">
        <v>44000064</v>
      </c>
      <c r="B64" s="1" t="s">
        <v>74</v>
      </c>
      <c r="C64" s="26" t="s">
        <v>129</v>
      </c>
      <c r="D64" s="26"/>
      <c r="G64" s="6">
        <v>1</v>
      </c>
      <c r="I64" s="26"/>
      <c r="J64" s="26"/>
      <c r="K64" s="26"/>
      <c r="L64" s="26"/>
    </row>
    <row r="65" spans="1:12" ht="23.25">
      <c r="A65" s="1">
        <v>44000065</v>
      </c>
      <c r="B65" s="1" t="s">
        <v>75</v>
      </c>
      <c r="C65" s="26" t="s">
        <v>130</v>
      </c>
      <c r="D65" s="26"/>
      <c r="I65" s="26"/>
      <c r="J65" s="26"/>
      <c r="K65" s="26"/>
      <c r="L65" s="26"/>
    </row>
    <row r="66" spans="1:12" ht="23.25">
      <c r="A66" s="1">
        <v>44000066</v>
      </c>
      <c r="B66" s="1" t="s">
        <v>76</v>
      </c>
      <c r="C66" s="26" t="s">
        <v>131</v>
      </c>
      <c r="D66" s="26"/>
      <c r="G66" s="6">
        <v>1</v>
      </c>
      <c r="I66" s="26"/>
      <c r="J66" s="26"/>
      <c r="K66" s="26"/>
      <c r="L66" s="26"/>
    </row>
    <row r="67" spans="1:12" ht="23.25">
      <c r="A67" s="1">
        <v>44000067</v>
      </c>
      <c r="B67" s="1" t="s">
        <v>77</v>
      </c>
      <c r="C67" s="26" t="s">
        <v>132</v>
      </c>
      <c r="D67" s="26"/>
      <c r="I67" s="26"/>
      <c r="J67" s="26"/>
      <c r="K67" s="26"/>
      <c r="L67" s="26"/>
    </row>
    <row r="68" spans="1:12" ht="23.25">
      <c r="A68" s="1">
        <v>44000068</v>
      </c>
      <c r="B68" s="1" t="s">
        <v>78</v>
      </c>
      <c r="C68" s="26" t="s">
        <v>133</v>
      </c>
      <c r="D68" s="26"/>
      <c r="E68" s="6">
        <v>1</v>
      </c>
      <c r="I68" s="26"/>
      <c r="J68" s="26"/>
      <c r="K68" s="26"/>
      <c r="L68" s="26"/>
    </row>
    <row r="69" spans="1:12">
      <c r="A69" s="58">
        <v>44000069</v>
      </c>
      <c r="B69" s="58" t="s">
        <v>313</v>
      </c>
      <c r="C69" s="59" t="s">
        <v>315</v>
      </c>
      <c r="D69" s="59"/>
      <c r="G69" s="6">
        <v>1</v>
      </c>
      <c r="I69" s="26"/>
      <c r="J69" s="26"/>
      <c r="K69" s="26"/>
      <c r="L69" s="26"/>
    </row>
    <row r="70" spans="1:12">
      <c r="A70" s="58">
        <v>44000070</v>
      </c>
      <c r="B70" s="58" t="s">
        <v>317</v>
      </c>
      <c r="C70" s="59" t="s">
        <v>318</v>
      </c>
      <c r="D70" s="59"/>
      <c r="F70" s="6">
        <v>1</v>
      </c>
      <c r="I70" s="26"/>
      <c r="J70" s="26"/>
      <c r="K70" s="26"/>
      <c r="L70" s="26"/>
    </row>
    <row r="71" spans="1:12">
      <c r="A71" s="58">
        <v>44000071</v>
      </c>
      <c r="B71" s="58" t="s">
        <v>320</v>
      </c>
      <c r="C71" s="59" t="s">
        <v>321</v>
      </c>
      <c r="D71" s="59"/>
      <c r="E71" s="6">
        <v>1</v>
      </c>
      <c r="I71" s="26"/>
      <c r="J71" s="26"/>
      <c r="K71" s="26"/>
      <c r="L71" s="26"/>
    </row>
    <row r="72" spans="1:12">
      <c r="C72" s="26"/>
      <c r="D72" s="26"/>
      <c r="I72" s="26"/>
      <c r="J72" s="26"/>
      <c r="K72" s="26"/>
      <c r="L72" s="26"/>
    </row>
    <row r="73" spans="1:12">
      <c r="C73" s="26"/>
      <c r="D73" s="26"/>
      <c r="I73" s="26"/>
      <c r="J73" s="26"/>
      <c r="K73" s="26"/>
      <c r="L73" s="26"/>
    </row>
    <row r="74" spans="1:12">
      <c r="C74" s="26"/>
      <c r="D74" s="26"/>
      <c r="I74" s="26"/>
      <c r="J74" s="26"/>
      <c r="K74" s="26"/>
      <c r="L74" s="26"/>
    </row>
    <row r="75" spans="1:12">
      <c r="C75" s="26"/>
      <c r="D75" s="26"/>
      <c r="I75" s="26"/>
      <c r="J75" s="26"/>
      <c r="K75" s="26"/>
      <c r="L75" s="26"/>
    </row>
    <row r="76" spans="1:12">
      <c r="C76" s="26"/>
      <c r="D76" s="26"/>
      <c r="I76" s="26"/>
      <c r="J76" s="26"/>
      <c r="K76" s="26"/>
      <c r="L76" s="26"/>
    </row>
    <row r="77" spans="1:12">
      <c r="C77" s="26"/>
      <c r="D77" s="26"/>
      <c r="I77" s="26"/>
      <c r="J77" s="26"/>
      <c r="K77" s="26"/>
      <c r="L77" s="26"/>
    </row>
    <row r="78" spans="1:12">
      <c r="C78" s="26"/>
      <c r="D78" s="26"/>
      <c r="I78" s="26"/>
      <c r="J78" s="26"/>
      <c r="K78" s="26"/>
      <c r="L78" s="26"/>
    </row>
    <row r="79" spans="1:12">
      <c r="C79" s="26"/>
      <c r="D79" s="26"/>
      <c r="I79" s="26"/>
      <c r="J79" s="26"/>
      <c r="K79" s="26"/>
      <c r="L79" s="26"/>
    </row>
    <row r="80" spans="1:12">
      <c r="C80" s="26"/>
      <c r="D80" s="26"/>
      <c r="I80" s="26"/>
      <c r="J80" s="26"/>
      <c r="K80" s="26"/>
      <c r="L80" s="26"/>
    </row>
    <row r="81" spans="3:12">
      <c r="C81" s="26"/>
      <c r="D81" s="26"/>
      <c r="I81" s="26"/>
      <c r="J81" s="26"/>
      <c r="K81" s="26"/>
      <c r="L81" s="26"/>
    </row>
    <row r="82" spans="3:12">
      <c r="C82" s="26"/>
      <c r="D82" s="26"/>
      <c r="I82" s="26"/>
      <c r="J82" s="26"/>
      <c r="K82" s="26"/>
      <c r="L82" s="26"/>
    </row>
    <row r="83" spans="3:12">
      <c r="C83" s="26"/>
      <c r="D83" s="26"/>
      <c r="I83" s="26"/>
      <c r="J83" s="26"/>
      <c r="K83" s="26"/>
      <c r="L83" s="26"/>
    </row>
    <row r="84" spans="3:12">
      <c r="C84" s="26"/>
      <c r="D84" s="26"/>
      <c r="I84" s="26"/>
      <c r="J84" s="26"/>
      <c r="K84" s="26"/>
      <c r="L84" s="26"/>
    </row>
    <row r="85" spans="3:12">
      <c r="C85" s="26"/>
      <c r="D85" s="26"/>
      <c r="I85" s="26"/>
      <c r="J85" s="26"/>
      <c r="K85" s="26"/>
      <c r="L85" s="26"/>
    </row>
    <row r="86" spans="3:12">
      <c r="C86" s="26"/>
      <c r="D86" s="26"/>
      <c r="I86" s="26"/>
      <c r="J86" s="26"/>
      <c r="K86" s="26"/>
      <c r="L86" s="26"/>
    </row>
    <row r="87" spans="3:12">
      <c r="C87" s="26"/>
      <c r="D87" s="26"/>
      <c r="I87" s="26"/>
      <c r="J87" s="26"/>
      <c r="K87" s="26"/>
      <c r="L87" s="26"/>
    </row>
    <row r="88" spans="3:12">
      <c r="C88" s="26"/>
      <c r="D88" s="26"/>
      <c r="I88" s="26"/>
      <c r="J88" s="26"/>
      <c r="K88" s="26"/>
      <c r="L88" s="26"/>
    </row>
    <row r="89" spans="3:12">
      <c r="C89" s="26"/>
      <c r="D89" s="26"/>
      <c r="I89" s="26"/>
      <c r="J89" s="26"/>
      <c r="K89" s="26"/>
      <c r="L89" s="26"/>
    </row>
    <row r="90" spans="3:12">
      <c r="I90" s="26"/>
      <c r="J90" s="26"/>
      <c r="K90" s="26"/>
      <c r="L90" s="26"/>
    </row>
    <row r="91" spans="3:12">
      <c r="I91" s="26"/>
      <c r="J91" s="26"/>
      <c r="K91" s="26"/>
      <c r="L91" s="26"/>
    </row>
    <row r="92" spans="3:12">
      <c r="I92" s="26"/>
      <c r="J92" s="26"/>
      <c r="K92" s="26"/>
      <c r="L92" s="26"/>
    </row>
    <row r="93" spans="3:12">
      <c r="I93" s="26"/>
      <c r="J93" s="26"/>
      <c r="K93" s="26"/>
      <c r="L93" s="26"/>
    </row>
  </sheetData>
  <mergeCells count="165">
    <mergeCell ref="I5:L6"/>
    <mergeCell ref="I90:L90"/>
    <mergeCell ref="I91:L91"/>
    <mergeCell ref="I92:L92"/>
    <mergeCell ref="I93:L93"/>
    <mergeCell ref="I84:L84"/>
    <mergeCell ref="I85:L85"/>
    <mergeCell ref="I86:L86"/>
    <mergeCell ref="I87:L87"/>
    <mergeCell ref="I88:L88"/>
    <mergeCell ref="I89:L89"/>
    <mergeCell ref="I78:L78"/>
    <mergeCell ref="I79:L79"/>
    <mergeCell ref="I80:L80"/>
    <mergeCell ref="I81:L81"/>
    <mergeCell ref="I82:L82"/>
    <mergeCell ref="I83:L83"/>
    <mergeCell ref="I72:L72"/>
    <mergeCell ref="I73:L73"/>
    <mergeCell ref="I74:L74"/>
    <mergeCell ref="I75:L75"/>
    <mergeCell ref="I76:L76"/>
    <mergeCell ref="I77:L77"/>
    <mergeCell ref="I66:L66"/>
    <mergeCell ref="I67:L67"/>
    <mergeCell ref="I68:L68"/>
    <mergeCell ref="I69:L69"/>
    <mergeCell ref="I70:L70"/>
    <mergeCell ref="I71:L71"/>
    <mergeCell ref="I61:L61"/>
    <mergeCell ref="I62:L62"/>
    <mergeCell ref="I63:L63"/>
    <mergeCell ref="I64:L64"/>
    <mergeCell ref="I65:L65"/>
    <mergeCell ref="I56:L56"/>
    <mergeCell ref="I57:L57"/>
    <mergeCell ref="I58:L58"/>
    <mergeCell ref="I59:L59"/>
    <mergeCell ref="I60:L60"/>
    <mergeCell ref="I50:L50"/>
    <mergeCell ref="I51:L51"/>
    <mergeCell ref="I52:L52"/>
    <mergeCell ref="I53:L53"/>
    <mergeCell ref="I54:L54"/>
    <mergeCell ref="I55:L55"/>
    <mergeCell ref="I45:L45"/>
    <mergeCell ref="I46:L46"/>
    <mergeCell ref="I47:L47"/>
    <mergeCell ref="I48:L48"/>
    <mergeCell ref="I49:L49"/>
    <mergeCell ref="I40:L40"/>
    <mergeCell ref="I41:L41"/>
    <mergeCell ref="I42:L42"/>
    <mergeCell ref="I43:L43"/>
    <mergeCell ref="I44:L44"/>
    <mergeCell ref="I35:L35"/>
    <mergeCell ref="I36:L36"/>
    <mergeCell ref="I37:L37"/>
    <mergeCell ref="I38:L38"/>
    <mergeCell ref="I39:L39"/>
    <mergeCell ref="I22:L22"/>
    <mergeCell ref="I23:L23"/>
    <mergeCell ref="I24:L24"/>
    <mergeCell ref="I25:L25"/>
    <mergeCell ref="I26:L26"/>
    <mergeCell ref="I34:L34"/>
    <mergeCell ref="I18:L18"/>
    <mergeCell ref="I19:L19"/>
    <mergeCell ref="I20:L20"/>
    <mergeCell ref="I21:L21"/>
    <mergeCell ref="I11:L11"/>
    <mergeCell ref="I12:L12"/>
    <mergeCell ref="I13:L13"/>
    <mergeCell ref="I15:L15"/>
    <mergeCell ref="I16:L16"/>
    <mergeCell ref="I7:L7"/>
    <mergeCell ref="I8:L8"/>
    <mergeCell ref="I9:L9"/>
    <mergeCell ref="I10:L10"/>
    <mergeCell ref="C85:D85"/>
    <mergeCell ref="C86:D86"/>
    <mergeCell ref="C87:D87"/>
    <mergeCell ref="C64:D64"/>
    <mergeCell ref="C65:D65"/>
    <mergeCell ref="C66:D66"/>
    <mergeCell ref="C67:D67"/>
    <mergeCell ref="C68:D68"/>
    <mergeCell ref="C57:D57"/>
    <mergeCell ref="C58:D58"/>
    <mergeCell ref="C59:D59"/>
    <mergeCell ref="C60:D60"/>
    <mergeCell ref="C61:D61"/>
    <mergeCell ref="C62:D62"/>
    <mergeCell ref="C51:D51"/>
    <mergeCell ref="C52:D52"/>
    <mergeCell ref="C53:D53"/>
    <mergeCell ref="C54:D54"/>
    <mergeCell ref="I17:L17"/>
    <mergeCell ref="C56:D56"/>
    <mergeCell ref="C88:D88"/>
    <mergeCell ref="C89:D89"/>
    <mergeCell ref="I1:L1"/>
    <mergeCell ref="I2:L2"/>
    <mergeCell ref="I3:L3"/>
    <mergeCell ref="I4:L4"/>
    <mergeCell ref="C79:D79"/>
    <mergeCell ref="C80:D80"/>
    <mergeCell ref="C81:D81"/>
    <mergeCell ref="C82:D82"/>
    <mergeCell ref="C83:D83"/>
    <mergeCell ref="C84:D84"/>
    <mergeCell ref="C73:D73"/>
    <mergeCell ref="C74:D74"/>
    <mergeCell ref="C75:D75"/>
    <mergeCell ref="C76:D76"/>
    <mergeCell ref="C77:D77"/>
    <mergeCell ref="C78:D78"/>
    <mergeCell ref="C71:D71"/>
    <mergeCell ref="C72:D72"/>
    <mergeCell ref="C69:D69"/>
    <mergeCell ref="C70:D70"/>
    <mergeCell ref="C63:D63"/>
    <mergeCell ref="C55:D55"/>
    <mergeCell ref="C45:D45"/>
    <mergeCell ref="C46:D46"/>
    <mergeCell ref="C47:D47"/>
    <mergeCell ref="C48:D48"/>
    <mergeCell ref="C49:D49"/>
    <mergeCell ref="C50:D50"/>
    <mergeCell ref="C39:D39"/>
    <mergeCell ref="C40:D40"/>
    <mergeCell ref="C41:D41"/>
    <mergeCell ref="C42:D42"/>
    <mergeCell ref="C43:D43"/>
    <mergeCell ref="C44:D44"/>
    <mergeCell ref="C26:D26"/>
    <mergeCell ref="C34:D34"/>
    <mergeCell ref="C35:D35"/>
    <mergeCell ref="C36:D36"/>
    <mergeCell ref="C37:D37"/>
    <mergeCell ref="C38:D38"/>
    <mergeCell ref="C20:D20"/>
    <mergeCell ref="C21:D21"/>
    <mergeCell ref="C22:D22"/>
    <mergeCell ref="C23:D23"/>
    <mergeCell ref="C24:D24"/>
    <mergeCell ref="C25:D25"/>
    <mergeCell ref="C17:D17"/>
    <mergeCell ref="C18:D18"/>
    <mergeCell ref="C19:D19"/>
    <mergeCell ref="C7:D7"/>
    <mergeCell ref="C8:D8"/>
    <mergeCell ref="C9:D9"/>
    <mergeCell ref="C10:D10"/>
    <mergeCell ref="C11:D11"/>
    <mergeCell ref="C12:D12"/>
    <mergeCell ref="C1:D1"/>
    <mergeCell ref="C2:D2"/>
    <mergeCell ref="C3:D3"/>
    <mergeCell ref="C4:D4"/>
    <mergeCell ref="C5:D5"/>
    <mergeCell ref="C6:D6"/>
    <mergeCell ref="C13:D13"/>
    <mergeCell ref="C15:D15"/>
    <mergeCell ref="C16:D16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8A7BC-52A6-4D92-B941-5815595CE9C2}">
  <dimension ref="A1:J169"/>
  <sheetViews>
    <sheetView workbookViewId="0">
      <pane ySplit="1" topLeftCell="A63" activePane="bottomLeft" state="frozen"/>
      <selection pane="bottomLeft" activeCell="A69" sqref="A69:B71"/>
    </sheetView>
  </sheetViews>
  <sheetFormatPr defaultRowHeight="22.9"/>
  <cols>
    <col min="1" max="1" width="9.0390625" style="1" customWidth="1"/>
    <col min="2" max="2" width="5.5390625" style="1" customWidth="1"/>
    <col min="3" max="4" width="8.5390625" style="1" customWidth="1"/>
    <col min="5" max="10" width="8.5390625" style="6" customWidth="1"/>
    <col min="11" max="36" width="8.5390625" style="1" customWidth="1"/>
    <col min="37" max="16384" width="8.6640625" style="1"/>
  </cols>
  <sheetData>
    <row r="1" spans="1:10" ht="23.25">
      <c r="A1" s="1" t="s">
        <v>0</v>
      </c>
      <c r="B1" s="1" t="s">
        <v>1</v>
      </c>
      <c r="C1" s="26" t="s">
        <v>94</v>
      </c>
      <c r="D1" s="26"/>
      <c r="E1" s="6" t="s">
        <v>79</v>
      </c>
      <c r="F1" s="6" t="s">
        <v>80</v>
      </c>
      <c r="G1" s="6" t="s">
        <v>83</v>
      </c>
      <c r="H1" s="6" t="s">
        <v>84</v>
      </c>
      <c r="I1" s="6" t="s">
        <v>81</v>
      </c>
      <c r="J1" s="6" t="s">
        <v>82</v>
      </c>
    </row>
    <row r="2" spans="1:10" ht="23.25">
      <c r="A2" s="1">
        <v>44000002</v>
      </c>
      <c r="B2" s="1" t="s">
        <v>2</v>
      </c>
      <c r="C2" s="26" t="s">
        <v>95</v>
      </c>
      <c r="D2" s="26"/>
      <c r="F2" s="6">
        <v>4</v>
      </c>
      <c r="I2" s="6">
        <v>2</v>
      </c>
      <c r="J2" s="6">
        <v>4</v>
      </c>
    </row>
    <row r="3" spans="1:10" ht="23.25">
      <c r="A3" s="1">
        <v>44000003</v>
      </c>
      <c r="B3" s="1" t="s">
        <v>3</v>
      </c>
      <c r="C3" s="26" t="s">
        <v>96</v>
      </c>
      <c r="D3" s="26"/>
      <c r="E3" s="6">
        <v>3</v>
      </c>
      <c r="G3" s="6">
        <v>2</v>
      </c>
      <c r="H3" s="6">
        <v>2</v>
      </c>
      <c r="I3" s="6">
        <v>3</v>
      </c>
    </row>
    <row r="4" spans="1:10" ht="23.25">
      <c r="A4" s="1">
        <v>44000004</v>
      </c>
      <c r="B4" s="1" t="s">
        <v>4</v>
      </c>
      <c r="C4" s="26" t="s">
        <v>97</v>
      </c>
      <c r="D4" s="26"/>
      <c r="E4" s="6">
        <v>2</v>
      </c>
      <c r="F4" s="6">
        <v>3</v>
      </c>
      <c r="H4" s="6">
        <v>2</v>
      </c>
      <c r="I4" s="6">
        <v>1</v>
      </c>
      <c r="J4" s="6">
        <v>2</v>
      </c>
    </row>
    <row r="5" spans="1:10" ht="23.25">
      <c r="A5" s="1">
        <v>44000005</v>
      </c>
      <c r="B5" s="1" t="s">
        <v>5</v>
      </c>
      <c r="C5" s="26" t="s">
        <v>98</v>
      </c>
      <c r="D5" s="26"/>
      <c r="F5" s="6">
        <v>3</v>
      </c>
      <c r="H5" s="6">
        <v>2</v>
      </c>
      <c r="I5" s="6">
        <v>5</v>
      </c>
      <c r="J5" s="6">
        <v>2</v>
      </c>
    </row>
    <row r="6" spans="1:10" ht="23.25">
      <c r="A6" s="1">
        <v>44000006</v>
      </c>
      <c r="B6" s="1" t="s">
        <v>6</v>
      </c>
      <c r="C6" s="26" t="s">
        <v>99</v>
      </c>
      <c r="D6" s="26"/>
      <c r="F6" s="6">
        <v>3</v>
      </c>
      <c r="H6" s="6">
        <v>2</v>
      </c>
      <c r="I6" s="6">
        <v>5</v>
      </c>
      <c r="J6" s="6">
        <v>2</v>
      </c>
    </row>
    <row r="7" spans="1:10" ht="23.25">
      <c r="A7" s="1">
        <v>44000007</v>
      </c>
      <c r="B7" s="1" t="s">
        <v>7</v>
      </c>
      <c r="C7" s="26" t="s">
        <v>100</v>
      </c>
      <c r="D7" s="26"/>
      <c r="E7" s="6">
        <v>5</v>
      </c>
      <c r="F7" s="6">
        <v>3</v>
      </c>
      <c r="G7" s="6">
        <v>2</v>
      </c>
      <c r="H7" s="6">
        <v>2</v>
      </c>
      <c r="I7" s="6">
        <v>1</v>
      </c>
      <c r="J7" s="6">
        <v>2</v>
      </c>
    </row>
    <row r="8" spans="1:10" ht="23.25">
      <c r="A8" s="1">
        <v>44000008</v>
      </c>
      <c r="B8" s="1" t="s">
        <v>8</v>
      </c>
      <c r="C8" s="26" t="s">
        <v>101</v>
      </c>
      <c r="D8" s="26"/>
      <c r="E8" s="6">
        <v>3</v>
      </c>
      <c r="F8" s="6">
        <v>2</v>
      </c>
      <c r="G8" s="6">
        <v>2</v>
      </c>
    </row>
    <row r="9" spans="1:10" ht="23.25">
      <c r="A9" s="14">
        <v>44000009</v>
      </c>
      <c r="B9" s="14" t="s">
        <v>9</v>
      </c>
      <c r="C9" s="43" t="s">
        <v>102</v>
      </c>
      <c r="D9" s="43"/>
      <c r="E9" s="6">
        <v>1</v>
      </c>
      <c r="F9" s="6">
        <v>2</v>
      </c>
      <c r="G9" s="6">
        <v>2</v>
      </c>
      <c r="H9" s="6">
        <v>2</v>
      </c>
      <c r="I9" s="6">
        <v>3</v>
      </c>
    </row>
    <row r="10" spans="1:10" ht="23.25">
      <c r="A10" s="14">
        <v>44000010</v>
      </c>
      <c r="B10" s="14" t="s">
        <v>10</v>
      </c>
      <c r="C10" s="43" t="s">
        <v>103</v>
      </c>
      <c r="D10" s="43"/>
      <c r="E10" s="6">
        <v>1</v>
      </c>
      <c r="F10" s="6">
        <v>1</v>
      </c>
      <c r="G10" s="6">
        <v>2</v>
      </c>
      <c r="I10" s="6">
        <v>2</v>
      </c>
      <c r="J10" s="6">
        <v>2</v>
      </c>
    </row>
    <row r="11" spans="1:10" ht="23.25">
      <c r="A11" s="14">
        <v>44000011</v>
      </c>
      <c r="B11" s="14" t="s">
        <v>11</v>
      </c>
      <c r="C11" s="43" t="s">
        <v>104</v>
      </c>
      <c r="D11" s="43"/>
      <c r="E11" s="6">
        <v>3</v>
      </c>
      <c r="F11" s="6">
        <v>2</v>
      </c>
      <c r="G11" s="6">
        <v>2</v>
      </c>
      <c r="H11" s="6">
        <v>2</v>
      </c>
      <c r="I11" s="6">
        <v>3</v>
      </c>
    </row>
    <row r="12" spans="1:10" ht="23.25">
      <c r="A12" s="14">
        <v>44000012</v>
      </c>
      <c r="B12" s="14" t="s">
        <v>12</v>
      </c>
      <c r="C12" s="43" t="s">
        <v>105</v>
      </c>
      <c r="D12" s="43"/>
      <c r="E12" s="6">
        <v>3</v>
      </c>
      <c r="F12" s="6">
        <v>3</v>
      </c>
      <c r="G12" s="6">
        <v>2</v>
      </c>
      <c r="J12" s="6">
        <v>2</v>
      </c>
    </row>
    <row r="13" spans="1:10" ht="23.25">
      <c r="A13" s="14">
        <v>44000013</v>
      </c>
      <c r="B13" s="14" t="s">
        <v>13</v>
      </c>
      <c r="C13" s="43" t="s">
        <v>106</v>
      </c>
      <c r="D13" s="43"/>
      <c r="E13" s="2">
        <v>4</v>
      </c>
      <c r="F13" s="2"/>
      <c r="G13" s="2"/>
      <c r="H13" s="2">
        <v>4</v>
      </c>
      <c r="I13" s="2">
        <v>2</v>
      </c>
    </row>
    <row r="15" spans="1:10" ht="23.25">
      <c r="A15" s="14">
        <v>44000015</v>
      </c>
      <c r="B15" s="14" t="s">
        <v>14</v>
      </c>
      <c r="C15" s="43" t="s">
        <v>107</v>
      </c>
      <c r="D15" s="43"/>
      <c r="E15" s="6">
        <v>3</v>
      </c>
      <c r="F15" s="6">
        <v>1</v>
      </c>
      <c r="G15" s="6">
        <v>2</v>
      </c>
      <c r="I15" s="6">
        <v>2</v>
      </c>
      <c r="J15" s="6">
        <v>2</v>
      </c>
    </row>
    <row r="16" spans="1:10" ht="23.25">
      <c r="A16" s="1">
        <v>44000016</v>
      </c>
      <c r="B16" s="1" t="s">
        <v>15</v>
      </c>
      <c r="C16" s="26" t="s">
        <v>108</v>
      </c>
      <c r="D16" s="26"/>
      <c r="E16" s="6">
        <v>3</v>
      </c>
      <c r="F16" s="6">
        <v>1</v>
      </c>
      <c r="G16" s="6">
        <v>2</v>
      </c>
      <c r="H16" s="6">
        <v>2</v>
      </c>
      <c r="I16" s="6">
        <v>5</v>
      </c>
      <c r="J16" s="6">
        <v>2</v>
      </c>
    </row>
    <row r="17" spans="1:10" ht="23.25">
      <c r="A17" s="1">
        <v>44000017</v>
      </c>
      <c r="B17" s="1" t="s">
        <v>16</v>
      </c>
      <c r="C17" s="26" t="s">
        <v>109</v>
      </c>
      <c r="D17" s="26"/>
      <c r="E17" s="2">
        <v>3</v>
      </c>
      <c r="F17" s="6">
        <v>2</v>
      </c>
      <c r="G17" s="2">
        <v>2</v>
      </c>
      <c r="H17" s="6">
        <v>4</v>
      </c>
      <c r="I17" s="6">
        <v>2</v>
      </c>
    </row>
    <row r="18" spans="1:10" ht="23.25">
      <c r="A18" s="1">
        <v>44000018</v>
      </c>
      <c r="B18" s="1" t="s">
        <v>17</v>
      </c>
      <c r="C18" s="26" t="s">
        <v>110</v>
      </c>
      <c r="D18" s="26"/>
      <c r="E18" s="6">
        <v>3</v>
      </c>
      <c r="F18" s="6">
        <v>1</v>
      </c>
      <c r="G18" s="6">
        <v>2</v>
      </c>
      <c r="I18" s="6">
        <v>2</v>
      </c>
      <c r="J18" s="6">
        <v>2</v>
      </c>
    </row>
    <row r="19" spans="1:10" ht="23.25">
      <c r="A19" s="1">
        <v>44000019</v>
      </c>
      <c r="B19" s="1" t="s">
        <v>18</v>
      </c>
      <c r="C19" s="26" t="s">
        <v>111</v>
      </c>
      <c r="D19" s="26"/>
      <c r="E19" s="6">
        <v>2</v>
      </c>
      <c r="F19" s="6">
        <v>3</v>
      </c>
      <c r="H19" s="6">
        <v>2</v>
      </c>
      <c r="I19" s="6">
        <v>1</v>
      </c>
      <c r="J19" s="6">
        <v>2</v>
      </c>
    </row>
    <row r="20" spans="1:10" ht="23.25">
      <c r="A20" s="1">
        <v>44000020</v>
      </c>
      <c r="B20" s="1" t="s">
        <v>19</v>
      </c>
      <c r="C20" s="26" t="s">
        <v>112</v>
      </c>
      <c r="D20" s="26"/>
      <c r="F20" s="6">
        <v>3</v>
      </c>
      <c r="H20" s="2">
        <v>4</v>
      </c>
      <c r="I20" s="2">
        <v>4</v>
      </c>
      <c r="J20" s="6">
        <v>2</v>
      </c>
    </row>
    <row r="21" spans="1:10" ht="23.25">
      <c r="A21" s="1">
        <v>44000021</v>
      </c>
      <c r="B21" s="1" t="s">
        <v>20</v>
      </c>
      <c r="C21" s="26" t="s">
        <v>113</v>
      </c>
      <c r="D21" s="26"/>
      <c r="E21" s="6">
        <v>3</v>
      </c>
      <c r="G21" s="6">
        <v>2</v>
      </c>
      <c r="H21" s="2">
        <v>4</v>
      </c>
      <c r="I21" s="2">
        <v>4</v>
      </c>
    </row>
    <row r="22" spans="1:10" ht="23.25">
      <c r="A22" s="14">
        <v>44000022</v>
      </c>
      <c r="B22" s="14" t="s">
        <v>21</v>
      </c>
      <c r="C22" s="43" t="s">
        <v>114</v>
      </c>
      <c r="D22" s="43"/>
      <c r="E22" s="6">
        <v>2</v>
      </c>
      <c r="F22" s="6">
        <v>1</v>
      </c>
      <c r="H22" s="2">
        <v>2</v>
      </c>
      <c r="I22" s="2">
        <v>3</v>
      </c>
      <c r="J22" s="6">
        <v>2</v>
      </c>
    </row>
    <row r="23" spans="1:10" ht="23.25">
      <c r="A23" s="14">
        <v>44000023</v>
      </c>
      <c r="B23" s="14" t="s">
        <v>22</v>
      </c>
      <c r="C23" s="43" t="s">
        <v>115</v>
      </c>
      <c r="D23" s="43"/>
      <c r="E23" s="6">
        <v>3</v>
      </c>
      <c r="F23" s="6">
        <v>3</v>
      </c>
      <c r="G23" s="6">
        <v>2</v>
      </c>
      <c r="J23" s="6">
        <v>2</v>
      </c>
    </row>
    <row r="24" spans="1:10" ht="29.25">
      <c r="A24" s="14">
        <v>44000024</v>
      </c>
      <c r="B24" s="14" t="s">
        <v>23</v>
      </c>
      <c r="C24" s="43" t="s">
        <v>116</v>
      </c>
      <c r="D24" s="43"/>
      <c r="F24" s="6">
        <v>3</v>
      </c>
      <c r="H24" s="6">
        <v>2</v>
      </c>
      <c r="I24" s="6">
        <v>3</v>
      </c>
      <c r="J24" s="6">
        <v>2</v>
      </c>
    </row>
    <row r="25" spans="1:10" ht="23.25">
      <c r="A25" s="14">
        <v>44000025</v>
      </c>
      <c r="B25" s="14" t="s">
        <v>24</v>
      </c>
      <c r="C25" s="43" t="s">
        <v>117</v>
      </c>
      <c r="D25" s="43"/>
      <c r="F25" s="6">
        <v>1</v>
      </c>
      <c r="I25" s="6">
        <v>2</v>
      </c>
      <c r="J25" s="6">
        <v>2</v>
      </c>
    </row>
    <row r="26" spans="1:10" ht="23.25">
      <c r="A26" s="14">
        <v>44000026</v>
      </c>
      <c r="B26" s="14" t="s">
        <v>25</v>
      </c>
      <c r="C26" s="43" t="s">
        <v>118</v>
      </c>
      <c r="D26" s="43"/>
      <c r="E26" s="6">
        <v>3</v>
      </c>
      <c r="G26" s="6">
        <v>2</v>
      </c>
      <c r="H26" s="2">
        <v>2</v>
      </c>
      <c r="I26" s="2">
        <v>3</v>
      </c>
    </row>
    <row r="34" spans="1:10">
      <c r="A34" s="14">
        <v>44000034</v>
      </c>
      <c r="B34" s="15" t="s">
        <v>26</v>
      </c>
      <c r="C34" s="43"/>
      <c r="D34" s="43"/>
    </row>
    <row r="35" spans="1:10" ht="23.25">
      <c r="A35" s="14">
        <v>44000035</v>
      </c>
      <c r="B35" s="15" t="s">
        <v>27</v>
      </c>
      <c r="C35" s="44" t="s">
        <v>119</v>
      </c>
      <c r="D35" s="44"/>
    </row>
    <row r="36" spans="1:10" ht="23.25">
      <c r="A36" s="14">
        <v>44000036</v>
      </c>
      <c r="B36" s="14" t="s">
        <v>28</v>
      </c>
      <c r="C36" s="43" t="s">
        <v>120</v>
      </c>
      <c r="D36" s="43"/>
      <c r="F36" s="6">
        <v>3</v>
      </c>
      <c r="H36" s="6">
        <v>2</v>
      </c>
      <c r="I36" s="6">
        <v>3</v>
      </c>
      <c r="J36" s="6">
        <v>2</v>
      </c>
    </row>
    <row r="37" spans="1:10">
      <c r="A37" s="1">
        <v>44000037</v>
      </c>
      <c r="B37" s="2" t="s">
        <v>29</v>
      </c>
      <c r="C37" s="26"/>
      <c r="D37" s="26"/>
    </row>
    <row r="38" spans="1:10" ht="23.25">
      <c r="A38" s="1">
        <v>44000038</v>
      </c>
      <c r="B38" s="1" t="s">
        <v>30</v>
      </c>
      <c r="C38" s="26" t="s">
        <v>121</v>
      </c>
      <c r="D38" s="26"/>
      <c r="E38" s="6">
        <v>3</v>
      </c>
      <c r="F38" s="6">
        <v>3</v>
      </c>
      <c r="G38" s="6">
        <v>2</v>
      </c>
      <c r="I38" s="6">
        <v>2</v>
      </c>
      <c r="J38" s="6">
        <v>2</v>
      </c>
    </row>
    <row r="39" spans="1:10" ht="23.25">
      <c r="A39" s="1">
        <v>44000039</v>
      </c>
      <c r="B39" s="1" t="s">
        <v>31</v>
      </c>
      <c r="C39" s="26" t="s">
        <v>122</v>
      </c>
      <c r="D39" s="26"/>
      <c r="E39" s="6">
        <v>3</v>
      </c>
      <c r="F39" s="6">
        <v>5</v>
      </c>
      <c r="G39" s="6">
        <v>2</v>
      </c>
      <c r="J39" s="6">
        <v>2</v>
      </c>
    </row>
    <row r="40" spans="1:10" ht="23.25">
      <c r="A40" s="1">
        <v>44000040</v>
      </c>
      <c r="B40" s="1" t="s">
        <v>32</v>
      </c>
      <c r="C40" s="26" t="s">
        <v>123</v>
      </c>
      <c r="D40" s="26"/>
      <c r="E40" s="6">
        <v>1</v>
      </c>
      <c r="G40" s="6">
        <v>2</v>
      </c>
      <c r="I40" s="6">
        <v>2</v>
      </c>
    </row>
    <row r="41" spans="1:10" ht="23.25">
      <c r="A41" s="1">
        <v>44000041</v>
      </c>
      <c r="B41" s="1" t="s">
        <v>33</v>
      </c>
      <c r="C41" s="26" t="s">
        <v>124</v>
      </c>
      <c r="D41" s="26"/>
      <c r="E41" s="6">
        <v>5</v>
      </c>
      <c r="F41" s="6">
        <v>3</v>
      </c>
      <c r="G41" s="6">
        <v>2</v>
      </c>
      <c r="H41" s="6">
        <v>2</v>
      </c>
      <c r="I41" s="6">
        <v>1</v>
      </c>
      <c r="J41" s="6">
        <v>2</v>
      </c>
    </row>
    <row r="42" spans="1:10" ht="23.25">
      <c r="A42" s="1">
        <v>44000042</v>
      </c>
      <c r="B42" s="1" t="s">
        <v>34</v>
      </c>
      <c r="C42" s="26" t="s">
        <v>125</v>
      </c>
      <c r="D42" s="26"/>
      <c r="E42" s="6">
        <v>1</v>
      </c>
      <c r="G42" s="6">
        <v>2</v>
      </c>
      <c r="I42" s="6">
        <v>2</v>
      </c>
    </row>
    <row r="43" spans="1:10" ht="23.25">
      <c r="A43" s="1">
        <v>44000043</v>
      </c>
      <c r="B43" s="1" t="s">
        <v>35</v>
      </c>
      <c r="C43" s="26" t="s">
        <v>126</v>
      </c>
      <c r="D43" s="26"/>
      <c r="E43" s="6">
        <v>3</v>
      </c>
      <c r="G43" s="6">
        <v>2</v>
      </c>
      <c r="H43" s="6">
        <v>2</v>
      </c>
      <c r="I43" s="6">
        <v>3</v>
      </c>
    </row>
    <row r="44" spans="1:10" ht="23.25">
      <c r="A44" s="14">
        <v>44000044</v>
      </c>
      <c r="B44" s="14" t="s">
        <v>36</v>
      </c>
      <c r="C44" s="43" t="s">
        <v>37</v>
      </c>
      <c r="D44" s="43"/>
      <c r="E44" s="6">
        <v>3</v>
      </c>
      <c r="F44" s="6">
        <v>2</v>
      </c>
      <c r="G44" s="6">
        <v>2</v>
      </c>
      <c r="H44" s="6">
        <v>2</v>
      </c>
      <c r="I44" s="6">
        <v>1</v>
      </c>
    </row>
    <row r="45" spans="1:10" ht="23.25">
      <c r="A45" s="14">
        <v>44000045</v>
      </c>
      <c r="B45" s="14" t="s">
        <v>38</v>
      </c>
      <c r="C45" s="43" t="s">
        <v>39</v>
      </c>
      <c r="D45" s="43"/>
      <c r="E45" s="6">
        <v>3</v>
      </c>
      <c r="G45" s="6">
        <v>2</v>
      </c>
      <c r="H45" s="6">
        <v>2</v>
      </c>
      <c r="I45" s="6">
        <v>3</v>
      </c>
    </row>
    <row r="46" spans="1:10" ht="23.25">
      <c r="A46" s="14">
        <v>44000046</v>
      </c>
      <c r="B46" s="14" t="s">
        <v>40</v>
      </c>
      <c r="C46" s="43" t="s">
        <v>41</v>
      </c>
      <c r="D46" s="43"/>
      <c r="E46" s="6">
        <v>2</v>
      </c>
      <c r="F46" s="6">
        <v>3</v>
      </c>
      <c r="H46" s="6">
        <v>2</v>
      </c>
      <c r="I46" s="6">
        <v>3</v>
      </c>
      <c r="J46" s="6">
        <v>2</v>
      </c>
    </row>
    <row r="47" spans="1:10" ht="23.25">
      <c r="A47" s="14">
        <v>44000047</v>
      </c>
      <c r="B47" s="14" t="s">
        <v>42</v>
      </c>
      <c r="C47" s="43" t="s">
        <v>43</v>
      </c>
      <c r="D47" s="43"/>
      <c r="E47" s="6">
        <v>2</v>
      </c>
      <c r="F47" s="6">
        <v>1</v>
      </c>
      <c r="H47" s="2">
        <v>2</v>
      </c>
      <c r="I47" s="2">
        <v>1</v>
      </c>
      <c r="J47" s="6">
        <v>2</v>
      </c>
    </row>
    <row r="48" spans="1:10" ht="23.25">
      <c r="A48" s="14">
        <v>44000048</v>
      </c>
      <c r="B48" s="14" t="s">
        <v>44</v>
      </c>
      <c r="C48" s="43" t="s">
        <v>45</v>
      </c>
      <c r="D48" s="43"/>
      <c r="E48" s="6">
        <v>2</v>
      </c>
      <c r="H48" s="6">
        <v>2</v>
      </c>
      <c r="I48" s="6">
        <v>3</v>
      </c>
    </row>
    <row r="49" spans="1:10" ht="23.25">
      <c r="A49" s="14">
        <v>44000049</v>
      </c>
      <c r="B49" s="14" t="s">
        <v>46</v>
      </c>
      <c r="C49" s="43" t="s">
        <v>47</v>
      </c>
      <c r="D49" s="43"/>
      <c r="E49" s="6">
        <v>3</v>
      </c>
      <c r="F49" s="6">
        <v>3</v>
      </c>
      <c r="G49" s="6">
        <v>2</v>
      </c>
      <c r="J49" s="6">
        <v>2</v>
      </c>
    </row>
    <row r="50" spans="1:10" ht="23.25">
      <c r="A50" s="1">
        <v>44000050</v>
      </c>
      <c r="B50" s="1" t="s">
        <v>48</v>
      </c>
      <c r="C50" s="26" t="s">
        <v>49</v>
      </c>
      <c r="D50" s="26"/>
      <c r="E50" s="6">
        <v>3</v>
      </c>
      <c r="F50" s="6">
        <v>2</v>
      </c>
      <c r="G50" s="6">
        <v>2</v>
      </c>
      <c r="H50" s="6">
        <v>2</v>
      </c>
      <c r="I50" s="6">
        <v>1</v>
      </c>
    </row>
    <row r="51" spans="1:10" ht="23.25">
      <c r="A51" s="1">
        <v>44000051</v>
      </c>
      <c r="B51" s="1" t="s">
        <v>50</v>
      </c>
      <c r="C51" s="26" t="s">
        <v>51</v>
      </c>
      <c r="D51" s="26"/>
      <c r="E51" s="6">
        <v>1</v>
      </c>
      <c r="F51" s="6">
        <v>3</v>
      </c>
      <c r="G51" s="6">
        <v>2</v>
      </c>
      <c r="H51" s="6">
        <v>2</v>
      </c>
      <c r="I51" s="6">
        <v>5</v>
      </c>
      <c r="J51" s="6">
        <v>2</v>
      </c>
    </row>
    <row r="52" spans="1:10" ht="23.25">
      <c r="A52" s="1">
        <v>44000052</v>
      </c>
      <c r="B52" s="1" t="s">
        <v>52</v>
      </c>
      <c r="C52" s="26" t="s">
        <v>53</v>
      </c>
      <c r="D52" s="26"/>
      <c r="E52" s="6">
        <v>2</v>
      </c>
      <c r="F52" s="6">
        <v>3</v>
      </c>
      <c r="H52" s="2">
        <v>2</v>
      </c>
      <c r="I52" s="2">
        <v>1</v>
      </c>
      <c r="J52" s="6">
        <v>2</v>
      </c>
    </row>
    <row r="53" spans="1:10" ht="23.25">
      <c r="A53" s="1">
        <v>44000053</v>
      </c>
      <c r="B53" s="1" t="s">
        <v>54</v>
      </c>
      <c r="C53" s="26" t="s">
        <v>55</v>
      </c>
      <c r="D53" s="26"/>
      <c r="F53" s="6">
        <v>2</v>
      </c>
      <c r="H53" s="6">
        <v>2</v>
      </c>
      <c r="I53" s="6">
        <v>1</v>
      </c>
    </row>
    <row r="54" spans="1:10" ht="23.25">
      <c r="A54" s="1">
        <v>44000054</v>
      </c>
      <c r="B54" s="1" t="s">
        <v>56</v>
      </c>
      <c r="C54" s="26" t="s">
        <v>57</v>
      </c>
      <c r="D54" s="26"/>
      <c r="F54" s="6">
        <v>3</v>
      </c>
      <c r="I54" s="6">
        <v>2</v>
      </c>
      <c r="J54" s="6">
        <v>2</v>
      </c>
    </row>
    <row r="55" spans="1:10" ht="23.25">
      <c r="A55" s="1">
        <v>44000055</v>
      </c>
      <c r="B55" s="1" t="s">
        <v>58</v>
      </c>
      <c r="C55" s="26" t="s">
        <v>59</v>
      </c>
      <c r="D55" s="26"/>
      <c r="F55" s="6">
        <v>5</v>
      </c>
      <c r="H55" s="6">
        <v>2</v>
      </c>
      <c r="I55" s="6">
        <v>1</v>
      </c>
      <c r="J55" s="6">
        <v>2</v>
      </c>
    </row>
    <row r="56" spans="1:10" ht="29.25">
      <c r="A56" s="14">
        <v>44000056</v>
      </c>
      <c r="B56" s="14" t="s">
        <v>60</v>
      </c>
      <c r="C56" s="43" t="s">
        <v>61</v>
      </c>
      <c r="D56" s="43"/>
      <c r="F56" s="6">
        <v>4</v>
      </c>
      <c r="I56" s="6">
        <v>2</v>
      </c>
      <c r="J56" s="6">
        <v>4</v>
      </c>
    </row>
    <row r="57" spans="1:10" ht="23.25">
      <c r="A57" s="14">
        <v>44000057</v>
      </c>
      <c r="B57" s="14" t="s">
        <v>62</v>
      </c>
      <c r="C57" s="43" t="s">
        <v>63</v>
      </c>
      <c r="D57" s="43"/>
      <c r="E57" s="6">
        <v>3</v>
      </c>
      <c r="G57" s="6">
        <v>2</v>
      </c>
      <c r="H57" s="6">
        <v>2</v>
      </c>
      <c r="I57" s="6">
        <v>3</v>
      </c>
    </row>
    <row r="58" spans="1:10" ht="29.25">
      <c r="A58" s="14">
        <v>44000058</v>
      </c>
      <c r="B58" s="14" t="s">
        <v>64</v>
      </c>
      <c r="C58" s="43" t="s">
        <v>65</v>
      </c>
      <c r="D58" s="43"/>
      <c r="F58" s="6">
        <v>3</v>
      </c>
      <c r="H58" s="6">
        <v>2</v>
      </c>
      <c r="I58" s="6">
        <v>3</v>
      </c>
      <c r="J58" s="6">
        <v>2</v>
      </c>
    </row>
    <row r="59" spans="1:10" ht="29.25">
      <c r="A59" s="14">
        <v>44000059</v>
      </c>
      <c r="B59" s="14" t="s">
        <v>66</v>
      </c>
      <c r="C59" s="43" t="s">
        <v>67</v>
      </c>
      <c r="D59" s="43"/>
      <c r="E59" s="6">
        <v>1</v>
      </c>
      <c r="F59" s="6">
        <v>3</v>
      </c>
      <c r="G59" s="6">
        <v>2</v>
      </c>
      <c r="I59" s="6">
        <v>2</v>
      </c>
      <c r="J59" s="6">
        <v>2</v>
      </c>
    </row>
    <row r="60" spans="1:10" ht="29.25">
      <c r="A60" s="14">
        <v>44000060</v>
      </c>
      <c r="B60" s="14" t="s">
        <v>68</v>
      </c>
      <c r="C60" s="43" t="s">
        <v>69</v>
      </c>
      <c r="D60" s="43"/>
      <c r="E60" s="2">
        <v>5</v>
      </c>
      <c r="F60" s="6">
        <v>1</v>
      </c>
      <c r="G60" s="2">
        <v>2</v>
      </c>
      <c r="J60" s="6">
        <v>2</v>
      </c>
    </row>
    <row r="61" spans="1:10" ht="29.25">
      <c r="A61" s="14">
        <v>44000061</v>
      </c>
      <c r="B61" s="14" t="s">
        <v>70</v>
      </c>
      <c r="C61" s="43" t="s">
        <v>71</v>
      </c>
      <c r="D61" s="43"/>
      <c r="E61" s="6">
        <v>6</v>
      </c>
      <c r="F61" s="6">
        <v>2</v>
      </c>
      <c r="G61" s="6">
        <v>4</v>
      </c>
    </row>
    <row r="62" spans="1:10" ht="23.25">
      <c r="A62" s="1">
        <v>44000062</v>
      </c>
      <c r="B62" s="1" t="s">
        <v>72</v>
      </c>
      <c r="C62" s="26" t="s">
        <v>127</v>
      </c>
      <c r="D62" s="26"/>
    </row>
    <row r="63" spans="1:10" ht="23.25">
      <c r="A63" s="1">
        <v>44000063</v>
      </c>
      <c r="B63" s="1" t="s">
        <v>73</v>
      </c>
      <c r="C63" s="26" t="s">
        <v>128</v>
      </c>
      <c r="D63" s="26"/>
    </row>
    <row r="64" spans="1:10" ht="23.25">
      <c r="A64" s="1">
        <v>44000064</v>
      </c>
      <c r="B64" s="1" t="s">
        <v>74</v>
      </c>
      <c r="C64" s="26" t="s">
        <v>129</v>
      </c>
      <c r="D64" s="26"/>
      <c r="H64" s="6">
        <v>2</v>
      </c>
      <c r="I64" s="6">
        <v>1</v>
      </c>
    </row>
    <row r="65" spans="1:9" ht="23.25">
      <c r="A65" s="1">
        <v>44000065</v>
      </c>
      <c r="B65" s="1" t="s">
        <v>75</v>
      </c>
      <c r="C65" s="26" t="s">
        <v>130</v>
      </c>
      <c r="D65" s="26"/>
      <c r="H65" s="6">
        <v>2</v>
      </c>
      <c r="I65" s="6">
        <v>1</v>
      </c>
    </row>
    <row r="66" spans="1:9" ht="23.25">
      <c r="A66" s="1">
        <v>44000066</v>
      </c>
      <c r="B66" s="1" t="s">
        <v>76</v>
      </c>
      <c r="C66" s="26" t="s">
        <v>131</v>
      </c>
      <c r="D66" s="26"/>
    </row>
    <row r="67" spans="1:9" ht="23.25">
      <c r="A67" s="1">
        <v>44000067</v>
      </c>
      <c r="B67" s="1" t="s">
        <v>77</v>
      </c>
      <c r="C67" s="26" t="s">
        <v>132</v>
      </c>
      <c r="D67" s="26"/>
      <c r="H67" s="6">
        <v>2</v>
      </c>
      <c r="I67" s="6">
        <v>1</v>
      </c>
    </row>
    <row r="68" spans="1:9" ht="23.25">
      <c r="A68" s="1">
        <v>44000068</v>
      </c>
      <c r="B68" s="1" t="s">
        <v>78</v>
      </c>
      <c r="C68" s="26" t="s">
        <v>133</v>
      </c>
      <c r="D68" s="26"/>
    </row>
    <row r="69" spans="1:9">
      <c r="A69" s="58">
        <v>44000069</v>
      </c>
      <c r="B69" s="58" t="s">
        <v>314</v>
      </c>
      <c r="C69" s="59" t="s">
        <v>316</v>
      </c>
      <c r="D69" s="59"/>
    </row>
    <row r="70" spans="1:9">
      <c r="A70" s="58">
        <v>44000070</v>
      </c>
      <c r="B70" s="58" t="s">
        <v>317</v>
      </c>
      <c r="C70" s="59" t="s">
        <v>319</v>
      </c>
      <c r="D70" s="59"/>
    </row>
    <row r="71" spans="1:9">
      <c r="A71" s="58">
        <v>44000071</v>
      </c>
      <c r="B71" s="58" t="s">
        <v>320</v>
      </c>
      <c r="C71" s="59" t="s">
        <v>322</v>
      </c>
      <c r="D71" s="59"/>
    </row>
    <row r="72" spans="1:9">
      <c r="C72" s="26"/>
      <c r="D72" s="26"/>
    </row>
    <row r="73" spans="1:9">
      <c r="C73" s="26"/>
      <c r="D73" s="26"/>
    </row>
    <row r="74" spans="1:9">
      <c r="C74" s="26"/>
      <c r="D74" s="26"/>
    </row>
    <row r="75" spans="1:9">
      <c r="C75" s="26"/>
      <c r="D75" s="26"/>
    </row>
    <row r="76" spans="1:9">
      <c r="C76" s="26"/>
      <c r="D76" s="26"/>
    </row>
    <row r="77" spans="1:9">
      <c r="C77" s="26"/>
      <c r="D77" s="26"/>
    </row>
    <row r="78" spans="1:9">
      <c r="C78" s="26"/>
      <c r="D78" s="26"/>
    </row>
    <row r="79" spans="1:9">
      <c r="C79" s="26"/>
      <c r="D79" s="26"/>
    </row>
    <row r="80" spans="1:9">
      <c r="C80" s="26"/>
      <c r="D80" s="26"/>
    </row>
    <row r="81" spans="3:4">
      <c r="C81" s="26"/>
      <c r="D81" s="26"/>
    </row>
    <row r="82" spans="3:4">
      <c r="C82" s="26"/>
      <c r="D82" s="26"/>
    </row>
    <row r="83" spans="3:4">
      <c r="C83" s="26"/>
      <c r="D83" s="26"/>
    </row>
    <row r="84" spans="3:4">
      <c r="C84" s="26"/>
      <c r="D84" s="26"/>
    </row>
    <row r="85" spans="3:4">
      <c r="C85" s="26"/>
      <c r="D85" s="26"/>
    </row>
    <row r="86" spans="3:4">
      <c r="C86" s="26"/>
      <c r="D86" s="26"/>
    </row>
    <row r="87" spans="3:4">
      <c r="C87" s="26"/>
      <c r="D87" s="26"/>
    </row>
    <row r="88" spans="3:4">
      <c r="C88" s="26"/>
      <c r="D88" s="26"/>
    </row>
    <row r="89" spans="3:4">
      <c r="C89" s="26"/>
      <c r="D89" s="26"/>
    </row>
    <row r="90" spans="3:4">
      <c r="C90" s="26"/>
      <c r="D90" s="26"/>
    </row>
    <row r="91" spans="3:4">
      <c r="C91" s="26"/>
      <c r="D91" s="26"/>
    </row>
    <row r="92" spans="3:4">
      <c r="C92" s="26"/>
      <c r="D92" s="26"/>
    </row>
    <row r="93" spans="3:4">
      <c r="C93" s="26"/>
      <c r="D93" s="26"/>
    </row>
    <row r="94" spans="3:4">
      <c r="C94" s="26"/>
      <c r="D94" s="26"/>
    </row>
    <row r="95" spans="3:4">
      <c r="C95" s="26"/>
      <c r="D95" s="26"/>
    </row>
    <row r="96" spans="3:4">
      <c r="C96" s="26"/>
      <c r="D96" s="26"/>
    </row>
    <row r="97" spans="3:4">
      <c r="C97" s="26"/>
      <c r="D97" s="26"/>
    </row>
    <row r="98" spans="3:4">
      <c r="C98" s="26"/>
      <c r="D98" s="26"/>
    </row>
    <row r="99" spans="3:4">
      <c r="C99" s="26"/>
      <c r="D99" s="26"/>
    </row>
    <row r="100" spans="3:4">
      <c r="C100" s="26"/>
      <c r="D100" s="26"/>
    </row>
    <row r="101" spans="3:4">
      <c r="C101" s="26"/>
      <c r="D101" s="26"/>
    </row>
    <row r="102" spans="3:4">
      <c r="C102" s="26"/>
      <c r="D102" s="26"/>
    </row>
    <row r="103" spans="3:4">
      <c r="C103" s="26"/>
      <c r="D103" s="26"/>
    </row>
    <row r="104" spans="3:4">
      <c r="C104" s="26"/>
      <c r="D104" s="26"/>
    </row>
    <row r="105" spans="3:4">
      <c r="C105" s="26"/>
      <c r="D105" s="26"/>
    </row>
    <row r="106" spans="3:4">
      <c r="C106" s="26"/>
      <c r="D106" s="26"/>
    </row>
    <row r="107" spans="3:4">
      <c r="C107" s="26"/>
      <c r="D107" s="26"/>
    </row>
    <row r="108" spans="3:4">
      <c r="C108" s="26"/>
      <c r="D108" s="26"/>
    </row>
    <row r="109" spans="3:4">
      <c r="C109" s="26"/>
      <c r="D109" s="26"/>
    </row>
    <row r="110" spans="3:4">
      <c r="C110" s="26"/>
      <c r="D110" s="26"/>
    </row>
    <row r="111" spans="3:4">
      <c r="C111" s="26"/>
      <c r="D111" s="26"/>
    </row>
    <row r="112" spans="3:4">
      <c r="C112" s="26"/>
      <c r="D112" s="26"/>
    </row>
    <row r="113" spans="3:4">
      <c r="C113" s="26"/>
      <c r="D113" s="26"/>
    </row>
    <row r="114" spans="3:4">
      <c r="C114" s="26"/>
      <c r="D114" s="26"/>
    </row>
    <row r="115" spans="3:4">
      <c r="C115" s="26"/>
      <c r="D115" s="26"/>
    </row>
    <row r="116" spans="3:4">
      <c r="C116" s="26"/>
      <c r="D116" s="26"/>
    </row>
    <row r="117" spans="3:4">
      <c r="C117" s="26"/>
      <c r="D117" s="26"/>
    </row>
    <row r="118" spans="3:4">
      <c r="C118" s="26"/>
      <c r="D118" s="26"/>
    </row>
    <row r="119" spans="3:4">
      <c r="C119" s="26"/>
      <c r="D119" s="26"/>
    </row>
    <row r="120" spans="3:4">
      <c r="C120" s="26"/>
      <c r="D120" s="26"/>
    </row>
    <row r="121" spans="3:4">
      <c r="C121" s="26"/>
      <c r="D121" s="26"/>
    </row>
    <row r="122" spans="3:4">
      <c r="C122" s="26"/>
      <c r="D122" s="26"/>
    </row>
    <row r="123" spans="3:4">
      <c r="C123" s="26"/>
      <c r="D123" s="26"/>
    </row>
    <row r="124" spans="3:4">
      <c r="C124" s="26"/>
      <c r="D124" s="26"/>
    </row>
    <row r="125" spans="3:4">
      <c r="C125" s="26"/>
      <c r="D125" s="26"/>
    </row>
    <row r="126" spans="3:4">
      <c r="C126" s="26"/>
      <c r="D126" s="26"/>
    </row>
    <row r="127" spans="3:4">
      <c r="C127" s="26"/>
      <c r="D127" s="26"/>
    </row>
    <row r="128" spans="3:4">
      <c r="C128" s="26"/>
      <c r="D128" s="26"/>
    </row>
    <row r="129" spans="3:4">
      <c r="C129" s="26"/>
      <c r="D129" s="26"/>
    </row>
    <row r="130" spans="3:4">
      <c r="C130" s="26"/>
      <c r="D130" s="26"/>
    </row>
    <row r="131" spans="3:4">
      <c r="C131" s="26"/>
      <c r="D131" s="26"/>
    </row>
    <row r="132" spans="3:4">
      <c r="C132" s="26"/>
      <c r="D132" s="26"/>
    </row>
    <row r="133" spans="3:4">
      <c r="C133" s="26"/>
      <c r="D133" s="26"/>
    </row>
    <row r="134" spans="3:4">
      <c r="C134" s="26"/>
      <c r="D134" s="26"/>
    </row>
    <row r="135" spans="3:4">
      <c r="C135" s="26"/>
      <c r="D135" s="26"/>
    </row>
    <row r="136" spans="3:4">
      <c r="C136" s="26"/>
      <c r="D136" s="26"/>
    </row>
    <row r="137" spans="3:4">
      <c r="C137" s="26"/>
      <c r="D137" s="26"/>
    </row>
    <row r="138" spans="3:4">
      <c r="C138" s="26"/>
      <c r="D138" s="26"/>
    </row>
    <row r="139" spans="3:4">
      <c r="C139" s="26"/>
      <c r="D139" s="26"/>
    </row>
    <row r="140" spans="3:4">
      <c r="C140" s="26"/>
      <c r="D140" s="26"/>
    </row>
    <row r="141" spans="3:4">
      <c r="C141" s="26"/>
      <c r="D141" s="26"/>
    </row>
    <row r="142" spans="3:4">
      <c r="C142" s="26"/>
      <c r="D142" s="26"/>
    </row>
    <row r="143" spans="3:4">
      <c r="C143" s="26"/>
      <c r="D143" s="26"/>
    </row>
    <row r="144" spans="3:4">
      <c r="C144" s="26"/>
      <c r="D144" s="26"/>
    </row>
    <row r="145" spans="3:4">
      <c r="C145" s="26"/>
      <c r="D145" s="26"/>
    </row>
    <row r="146" spans="3:4">
      <c r="C146" s="26"/>
      <c r="D146" s="26"/>
    </row>
    <row r="147" spans="3:4">
      <c r="C147" s="26"/>
      <c r="D147" s="26"/>
    </row>
    <row r="148" spans="3:4">
      <c r="C148" s="26"/>
      <c r="D148" s="26"/>
    </row>
    <row r="149" spans="3:4">
      <c r="C149" s="26"/>
      <c r="D149" s="26"/>
    </row>
    <row r="150" spans="3:4">
      <c r="C150" s="26"/>
      <c r="D150" s="26"/>
    </row>
    <row r="151" spans="3:4">
      <c r="C151" s="26"/>
      <c r="D151" s="26"/>
    </row>
    <row r="152" spans="3:4">
      <c r="C152" s="26"/>
      <c r="D152" s="26"/>
    </row>
    <row r="153" spans="3:4">
      <c r="C153" s="26"/>
      <c r="D153" s="26"/>
    </row>
    <row r="154" spans="3:4">
      <c r="C154" s="26"/>
      <c r="D154" s="26"/>
    </row>
    <row r="155" spans="3:4">
      <c r="C155" s="26"/>
      <c r="D155" s="26"/>
    </row>
    <row r="156" spans="3:4">
      <c r="C156" s="26"/>
      <c r="D156" s="26"/>
    </row>
    <row r="157" spans="3:4">
      <c r="C157" s="26"/>
      <c r="D157" s="26"/>
    </row>
    <row r="158" spans="3:4">
      <c r="C158" s="26"/>
      <c r="D158" s="26"/>
    </row>
    <row r="159" spans="3:4">
      <c r="C159" s="26"/>
      <c r="D159" s="26"/>
    </row>
    <row r="160" spans="3:4">
      <c r="C160" s="26"/>
      <c r="D160" s="26"/>
    </row>
    <row r="161" spans="3:4">
      <c r="C161" s="26"/>
      <c r="D161" s="26"/>
    </row>
    <row r="162" spans="3:4">
      <c r="C162" s="26"/>
      <c r="D162" s="26"/>
    </row>
    <row r="163" spans="3:4">
      <c r="C163" s="26"/>
      <c r="D163" s="26"/>
    </row>
    <row r="164" spans="3:4">
      <c r="C164" s="26"/>
      <c r="D164" s="26"/>
    </row>
    <row r="165" spans="3:4">
      <c r="C165" s="26"/>
      <c r="D165" s="26"/>
    </row>
    <row r="166" spans="3:4">
      <c r="C166" s="26"/>
      <c r="D166" s="26"/>
    </row>
    <row r="167" spans="3:4">
      <c r="C167" s="26"/>
      <c r="D167" s="26"/>
    </row>
    <row r="168" spans="3:4">
      <c r="C168" s="26"/>
      <c r="D168" s="26"/>
    </row>
    <row r="169" spans="3:4">
      <c r="C169" s="26"/>
      <c r="D169" s="26"/>
    </row>
  </sheetData>
  <mergeCells count="161">
    <mergeCell ref="C165:D165"/>
    <mergeCell ref="C166:D166"/>
    <mergeCell ref="C167:D167"/>
    <mergeCell ref="C168:D168"/>
    <mergeCell ref="C169:D169"/>
    <mergeCell ref="C159:D159"/>
    <mergeCell ref="C160:D160"/>
    <mergeCell ref="C161:D161"/>
    <mergeCell ref="C162:D162"/>
    <mergeCell ref="C163:D163"/>
    <mergeCell ref="C164:D164"/>
    <mergeCell ref="C153:D153"/>
    <mergeCell ref="C154:D154"/>
    <mergeCell ref="C155:D155"/>
    <mergeCell ref="C156:D156"/>
    <mergeCell ref="C157:D157"/>
    <mergeCell ref="C158:D158"/>
    <mergeCell ref="C147:D147"/>
    <mergeCell ref="C148:D148"/>
    <mergeCell ref="C149:D149"/>
    <mergeCell ref="C150:D150"/>
    <mergeCell ref="C151:D151"/>
    <mergeCell ref="C152:D152"/>
    <mergeCell ref="C141:D141"/>
    <mergeCell ref="C142:D142"/>
    <mergeCell ref="C143:D143"/>
    <mergeCell ref="C144:D144"/>
    <mergeCell ref="C145:D145"/>
    <mergeCell ref="C146:D146"/>
    <mergeCell ref="C135:D135"/>
    <mergeCell ref="C136:D136"/>
    <mergeCell ref="C137:D137"/>
    <mergeCell ref="C138:D138"/>
    <mergeCell ref="C139:D139"/>
    <mergeCell ref="C140:D140"/>
    <mergeCell ref="C129:D129"/>
    <mergeCell ref="C130:D130"/>
    <mergeCell ref="C131:D131"/>
    <mergeCell ref="C132:D132"/>
    <mergeCell ref="C133:D133"/>
    <mergeCell ref="C134:D134"/>
    <mergeCell ref="C123:D123"/>
    <mergeCell ref="C124:D124"/>
    <mergeCell ref="C125:D125"/>
    <mergeCell ref="C126:D126"/>
    <mergeCell ref="C127:D127"/>
    <mergeCell ref="C128:D128"/>
    <mergeCell ref="C117:D117"/>
    <mergeCell ref="C118:D118"/>
    <mergeCell ref="C119:D119"/>
    <mergeCell ref="C120:D120"/>
    <mergeCell ref="C121:D121"/>
    <mergeCell ref="C122:D122"/>
    <mergeCell ref="C111:D111"/>
    <mergeCell ref="C112:D112"/>
    <mergeCell ref="C113:D113"/>
    <mergeCell ref="C114:D114"/>
    <mergeCell ref="C115:D115"/>
    <mergeCell ref="C116:D116"/>
    <mergeCell ref="C105:D105"/>
    <mergeCell ref="C106:D106"/>
    <mergeCell ref="C107:D107"/>
    <mergeCell ref="C108:D108"/>
    <mergeCell ref="C109:D109"/>
    <mergeCell ref="C110:D110"/>
    <mergeCell ref="C99:D99"/>
    <mergeCell ref="C100:D100"/>
    <mergeCell ref="C101:D101"/>
    <mergeCell ref="C102:D102"/>
    <mergeCell ref="C103:D103"/>
    <mergeCell ref="C104:D104"/>
    <mergeCell ref="C93:D93"/>
    <mergeCell ref="C94:D94"/>
    <mergeCell ref="C95:D95"/>
    <mergeCell ref="C96:D96"/>
    <mergeCell ref="C97:D97"/>
    <mergeCell ref="C98:D98"/>
    <mergeCell ref="C87:D87"/>
    <mergeCell ref="C88:D88"/>
    <mergeCell ref="C89:D89"/>
    <mergeCell ref="C90:D90"/>
    <mergeCell ref="C91:D91"/>
    <mergeCell ref="C92:D92"/>
    <mergeCell ref="C81:D81"/>
    <mergeCell ref="C82:D82"/>
    <mergeCell ref="C83:D83"/>
    <mergeCell ref="C84:D84"/>
    <mergeCell ref="C85:D85"/>
    <mergeCell ref="C86:D86"/>
    <mergeCell ref="C75:D75"/>
    <mergeCell ref="C76:D76"/>
    <mergeCell ref="C77:D77"/>
    <mergeCell ref="C78:D78"/>
    <mergeCell ref="C79:D79"/>
    <mergeCell ref="C80:D80"/>
    <mergeCell ref="C69:D69"/>
    <mergeCell ref="C70:D70"/>
    <mergeCell ref="C71:D71"/>
    <mergeCell ref="C72:D72"/>
    <mergeCell ref="C73:D73"/>
    <mergeCell ref="C74:D74"/>
    <mergeCell ref="C63:D63"/>
    <mergeCell ref="C64:D64"/>
    <mergeCell ref="C65:D65"/>
    <mergeCell ref="C66:D66"/>
    <mergeCell ref="C67:D67"/>
    <mergeCell ref="C68:D68"/>
    <mergeCell ref="C57:D57"/>
    <mergeCell ref="C58:D58"/>
    <mergeCell ref="C59:D59"/>
    <mergeCell ref="C60:D60"/>
    <mergeCell ref="C61:D61"/>
    <mergeCell ref="C62:D62"/>
    <mergeCell ref="C51:D51"/>
    <mergeCell ref="C52:D52"/>
    <mergeCell ref="C53:D53"/>
    <mergeCell ref="C54:D54"/>
    <mergeCell ref="C55:D55"/>
    <mergeCell ref="C56:D56"/>
    <mergeCell ref="C45:D45"/>
    <mergeCell ref="C46:D46"/>
    <mergeCell ref="C47:D47"/>
    <mergeCell ref="C48:D48"/>
    <mergeCell ref="C49:D49"/>
    <mergeCell ref="C50:D50"/>
    <mergeCell ref="C39:D39"/>
    <mergeCell ref="C40:D40"/>
    <mergeCell ref="C41:D41"/>
    <mergeCell ref="C42:D42"/>
    <mergeCell ref="C43:D43"/>
    <mergeCell ref="C44:D44"/>
    <mergeCell ref="C26:D26"/>
    <mergeCell ref="C34:D34"/>
    <mergeCell ref="C35:D35"/>
    <mergeCell ref="C36:D36"/>
    <mergeCell ref="C37:D37"/>
    <mergeCell ref="C38:D38"/>
    <mergeCell ref="C20:D20"/>
    <mergeCell ref="C21:D21"/>
    <mergeCell ref="C22:D22"/>
    <mergeCell ref="C23:D23"/>
    <mergeCell ref="C24:D24"/>
    <mergeCell ref="C25:D25"/>
    <mergeCell ref="C17:D17"/>
    <mergeCell ref="C18:D18"/>
    <mergeCell ref="C19:D19"/>
    <mergeCell ref="C7:D7"/>
    <mergeCell ref="C8:D8"/>
    <mergeCell ref="C9:D9"/>
    <mergeCell ref="C10:D10"/>
    <mergeCell ref="C11:D11"/>
    <mergeCell ref="C12:D12"/>
    <mergeCell ref="C1:D1"/>
    <mergeCell ref="C2:D2"/>
    <mergeCell ref="C3:D3"/>
    <mergeCell ref="C4:D4"/>
    <mergeCell ref="C5:D5"/>
    <mergeCell ref="C6:D6"/>
    <mergeCell ref="C13:D13"/>
    <mergeCell ref="C15:D15"/>
    <mergeCell ref="C16:D16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51AAF-3C88-44FD-88C5-FF265CCAF310}">
  <dimension ref="A1:J115"/>
  <sheetViews>
    <sheetView workbookViewId="0">
      <pane ySplit="1" topLeftCell="A62" activePane="bottomLeft" state="frozen"/>
      <selection pane="bottomLeft" activeCell="E71" sqref="E71"/>
    </sheetView>
  </sheetViews>
  <sheetFormatPr defaultRowHeight="22.9"/>
  <cols>
    <col min="1" max="1" width="9.0390625" style="1" customWidth="1"/>
    <col min="2" max="2" width="5.5390625" style="1" customWidth="1"/>
    <col min="3" max="36" width="8.5390625" style="1" customWidth="1"/>
    <col min="37" max="16384" width="8.6640625" style="1"/>
  </cols>
  <sheetData>
    <row r="1" spans="1:10" ht="23.25">
      <c r="A1" s="1" t="s">
        <v>0</v>
      </c>
      <c r="B1" s="1" t="s">
        <v>1</v>
      </c>
      <c r="C1" s="26" t="s">
        <v>94</v>
      </c>
      <c r="D1" s="26"/>
      <c r="E1" s="1" t="s">
        <v>79</v>
      </c>
      <c r="F1" s="1" t="s">
        <v>80</v>
      </c>
      <c r="G1" s="1" t="s">
        <v>83</v>
      </c>
      <c r="H1" s="1" t="s">
        <v>84</v>
      </c>
      <c r="I1" s="1" t="s">
        <v>81</v>
      </c>
      <c r="J1" s="1" t="s">
        <v>82</v>
      </c>
    </row>
    <row r="2" spans="1:10" ht="23.25">
      <c r="A2" s="1">
        <v>44000002</v>
      </c>
      <c r="B2" s="1" t="s">
        <v>2</v>
      </c>
      <c r="C2" s="26" t="s">
        <v>95</v>
      </c>
      <c r="D2" s="26"/>
      <c r="E2" s="1">
        <f>SS偏向统计!E2*3+SS偏向统计!H2*3</f>
        <v>18</v>
      </c>
      <c r="F2" s="1">
        <f>SS偏向统计!F2*3+SS偏向统计!H2*2</f>
        <v>0</v>
      </c>
      <c r="G2" s="1">
        <f>SS偏向统计!E2*2</f>
        <v>12</v>
      </c>
      <c r="H2" s="1">
        <f>SS偏向统计!G2*2</f>
        <v>4</v>
      </c>
      <c r="I2" s="1">
        <f>SS偏向统计!G2*3</f>
        <v>6</v>
      </c>
      <c r="J2" s="1">
        <f>SS偏向统计!F2*2</f>
        <v>0</v>
      </c>
    </row>
    <row r="3" spans="1:10" ht="23.25">
      <c r="A3" s="1">
        <v>44000003</v>
      </c>
      <c r="B3" s="1" t="s">
        <v>3</v>
      </c>
      <c r="C3" s="26" t="s">
        <v>96</v>
      </c>
      <c r="D3" s="26"/>
      <c r="E3" s="1">
        <f>SS偏向统计!E3*3+SS偏向统计!H3*3</f>
        <v>0</v>
      </c>
      <c r="F3" s="1">
        <f>SS偏向统计!F3*3+SS偏向统计!H3*2</f>
        <v>18</v>
      </c>
      <c r="G3" s="1">
        <f>SS偏向统计!E3*2</f>
        <v>0</v>
      </c>
      <c r="H3" s="1">
        <f>SS偏向统计!G3*2</f>
        <v>0</v>
      </c>
      <c r="I3" s="1">
        <f>SS偏向统计!G3*3</f>
        <v>0</v>
      </c>
      <c r="J3" s="1">
        <f>SS偏向统计!F3*2</f>
        <v>12</v>
      </c>
    </row>
    <row r="4" spans="1:10" ht="23.25">
      <c r="A4" s="1">
        <v>44000004</v>
      </c>
      <c r="B4" s="1" t="s">
        <v>4</v>
      </c>
      <c r="C4" s="26" t="s">
        <v>97</v>
      </c>
      <c r="D4" s="26"/>
      <c r="E4" s="1">
        <f>SS偏向统计!E4*3+SS偏向统计!H4*3</f>
        <v>0</v>
      </c>
      <c r="F4" s="1">
        <f>SS偏向统计!F4*3+SS偏向统计!H4*2</f>
        <v>0</v>
      </c>
      <c r="G4" s="1">
        <f>SS偏向统计!E4*2</f>
        <v>0</v>
      </c>
      <c r="H4" s="1">
        <f>SS偏向统计!G4*2</f>
        <v>12</v>
      </c>
      <c r="I4" s="1">
        <f>SS偏向统计!G4*3</f>
        <v>18</v>
      </c>
      <c r="J4" s="1">
        <f>SS偏向统计!F4*2</f>
        <v>0</v>
      </c>
    </row>
    <row r="5" spans="1:10" ht="23.25">
      <c r="A5" s="1">
        <v>44000005</v>
      </c>
      <c r="B5" s="1" t="s">
        <v>5</v>
      </c>
      <c r="C5" s="26" t="s">
        <v>98</v>
      </c>
      <c r="D5" s="26"/>
      <c r="E5" s="1">
        <f>SS偏向统计!E5*3+SS偏向统计!H5*3</f>
        <v>18</v>
      </c>
      <c r="F5" s="1">
        <f>SS偏向统计!F5*3+SS偏向统计!H5*2</f>
        <v>2</v>
      </c>
      <c r="G5" s="1">
        <f>SS偏向统计!E5*2</f>
        <v>10</v>
      </c>
      <c r="H5" s="1">
        <f>SS偏向统计!G5*2</f>
        <v>0</v>
      </c>
      <c r="I5" s="1">
        <f>SS偏向统计!G5*3</f>
        <v>0</v>
      </c>
      <c r="J5" s="1">
        <f>SS偏向统计!F5*2</f>
        <v>0</v>
      </c>
    </row>
    <row r="6" spans="1:10" ht="23.25">
      <c r="A6" s="1">
        <v>44000006</v>
      </c>
      <c r="B6" s="1" t="s">
        <v>6</v>
      </c>
      <c r="C6" s="26" t="s">
        <v>99</v>
      </c>
      <c r="D6" s="26"/>
      <c r="E6" s="1">
        <f>SS偏向统计!E6*3+SS偏向统计!H6*3</f>
        <v>18</v>
      </c>
      <c r="F6" s="1">
        <f>SS偏向统计!F6*3+SS偏向统计!H6*2</f>
        <v>2</v>
      </c>
      <c r="G6" s="1">
        <f>SS偏向统计!E6*2</f>
        <v>10</v>
      </c>
      <c r="H6" s="1">
        <f>SS偏向统计!G6*2</f>
        <v>0</v>
      </c>
      <c r="I6" s="1">
        <f>SS偏向统计!G6*3</f>
        <v>0</v>
      </c>
      <c r="J6" s="1">
        <f>SS偏向统计!F6*2</f>
        <v>0</v>
      </c>
    </row>
    <row r="7" spans="1:10" ht="23.25">
      <c r="A7" s="1">
        <v>44000007</v>
      </c>
      <c r="B7" s="1" t="s">
        <v>7</v>
      </c>
      <c r="C7" s="26" t="s">
        <v>100</v>
      </c>
      <c r="D7" s="26"/>
      <c r="E7" s="1">
        <f>SS偏向统计!E7*3+SS偏向统计!H7*3</f>
        <v>0</v>
      </c>
      <c r="F7" s="1">
        <f>SS偏向统计!F7*3+SS偏向统计!H7*2</f>
        <v>0</v>
      </c>
      <c r="G7" s="1">
        <f>SS偏向统计!E7*2</f>
        <v>0</v>
      </c>
      <c r="H7" s="1">
        <f>SS偏向统计!G7*2</f>
        <v>12</v>
      </c>
      <c r="I7" s="1">
        <f>SS偏向统计!G7*3</f>
        <v>18</v>
      </c>
      <c r="J7" s="1">
        <f>SS偏向统计!F7*2</f>
        <v>0</v>
      </c>
    </row>
    <row r="8" spans="1:10" ht="23.25">
      <c r="A8" s="1">
        <v>44000008</v>
      </c>
      <c r="B8" s="1" t="s">
        <v>8</v>
      </c>
      <c r="C8" s="26" t="s">
        <v>101</v>
      </c>
      <c r="D8" s="26"/>
      <c r="E8" s="1">
        <f>SS偏向统计!E8*3+SS偏向统计!H8*3</f>
        <v>0</v>
      </c>
      <c r="F8" s="1">
        <f>SS偏向统计!F8*3+SS偏向统计!H8*2</f>
        <v>9</v>
      </c>
      <c r="G8" s="1">
        <f>SS偏向统计!E8*2</f>
        <v>0</v>
      </c>
      <c r="H8" s="1">
        <f>SS偏向统计!G8*2</f>
        <v>6</v>
      </c>
      <c r="I8" s="1">
        <f>SS偏向统计!G8*3</f>
        <v>9</v>
      </c>
      <c r="J8" s="1">
        <f>SS偏向统计!F8*2</f>
        <v>6</v>
      </c>
    </row>
    <row r="9" spans="1:10" ht="23.25">
      <c r="A9" s="14">
        <v>44000009</v>
      </c>
      <c r="B9" s="14" t="s">
        <v>9</v>
      </c>
      <c r="C9" s="43" t="s">
        <v>102</v>
      </c>
      <c r="D9" s="43"/>
      <c r="E9" s="1">
        <f>SS偏向统计!E9*3+SS偏向统计!H9*3</f>
        <v>3</v>
      </c>
      <c r="F9" s="1">
        <f>SS偏向统计!F9*3+SS偏向统计!H9*2</f>
        <v>0</v>
      </c>
      <c r="G9" s="1">
        <f>SS偏向统计!E9*2</f>
        <v>2</v>
      </c>
      <c r="H9" s="1">
        <f>SS偏向统计!G9*2</f>
        <v>10</v>
      </c>
      <c r="I9" s="1">
        <f>SS偏向统计!G9*3</f>
        <v>15</v>
      </c>
      <c r="J9" s="1">
        <f>SS偏向统计!F9*2</f>
        <v>0</v>
      </c>
    </row>
    <row r="10" spans="1:10" ht="23.25">
      <c r="A10" s="14">
        <v>44000010</v>
      </c>
      <c r="B10" s="14" t="s">
        <v>10</v>
      </c>
      <c r="C10" s="43" t="s">
        <v>103</v>
      </c>
      <c r="D10" s="43"/>
      <c r="E10" s="1">
        <f>SS偏向统计!E10*3+SS偏向统计!H10*3</f>
        <v>9</v>
      </c>
      <c r="F10" s="1">
        <f>SS偏向统计!F10*3+SS偏向统计!H10*2</f>
        <v>0</v>
      </c>
      <c r="G10" s="1">
        <f>SS偏向统计!E10*2</f>
        <v>6</v>
      </c>
      <c r="H10" s="1">
        <f>SS偏向统计!G10*2</f>
        <v>2</v>
      </c>
      <c r="I10" s="1">
        <f>SS偏向统计!G10*3</f>
        <v>3</v>
      </c>
      <c r="J10" s="1">
        <f>SS偏向统计!F10*2</f>
        <v>0</v>
      </c>
    </row>
    <row r="11" spans="1:10" ht="23.25">
      <c r="A11" s="14">
        <v>44000011</v>
      </c>
      <c r="B11" s="14" t="s">
        <v>11</v>
      </c>
      <c r="C11" s="43" t="s">
        <v>104</v>
      </c>
      <c r="D11" s="43"/>
      <c r="E11" s="1">
        <f>SS偏向统计!E11*3+SS偏向统计!H11*3</f>
        <v>6</v>
      </c>
      <c r="F11" s="1">
        <f>SS偏向统计!F11*3+SS偏向统计!H11*2</f>
        <v>6</v>
      </c>
      <c r="G11" s="1">
        <f>SS偏向统计!E11*2</f>
        <v>4</v>
      </c>
      <c r="H11" s="1">
        <f>SS偏向统计!G11*2</f>
        <v>0</v>
      </c>
      <c r="I11" s="1">
        <f>SS偏向统计!G11*3</f>
        <v>0</v>
      </c>
      <c r="J11" s="1">
        <f>SS偏向统计!F11*2</f>
        <v>4</v>
      </c>
    </row>
    <row r="12" spans="1:10" ht="23.25">
      <c r="A12" s="14">
        <v>44000012</v>
      </c>
      <c r="B12" s="14" t="s">
        <v>12</v>
      </c>
      <c r="C12" s="43" t="s">
        <v>105</v>
      </c>
      <c r="D12" s="43"/>
      <c r="E12" s="1">
        <f>SS偏向统计!E12*3+SS偏向统计!H12*3</f>
        <v>0</v>
      </c>
      <c r="F12" s="1">
        <f>SS偏向统计!F12*3+SS偏向统计!H12*2</f>
        <v>0</v>
      </c>
      <c r="G12" s="1">
        <f>SS偏向统计!E12*2</f>
        <v>0</v>
      </c>
      <c r="H12" s="1">
        <f>SS偏向统计!G12*2</f>
        <v>8</v>
      </c>
      <c r="I12" s="1">
        <f>SS偏向统计!G12*3</f>
        <v>12</v>
      </c>
      <c r="J12" s="1">
        <f>SS偏向统计!F12*2</f>
        <v>0</v>
      </c>
    </row>
    <row r="13" spans="1:10" ht="23.25">
      <c r="A13" s="14">
        <v>44000013</v>
      </c>
      <c r="B13" s="14" t="s">
        <v>13</v>
      </c>
      <c r="C13" s="43" t="s">
        <v>106</v>
      </c>
      <c r="D13" s="43"/>
      <c r="E13" s="1">
        <f>SS偏向统计!E13*3+SS偏向统计!H13*3</f>
        <v>3</v>
      </c>
      <c r="F13" s="1">
        <f>SS偏向统计!F13*3+SS偏向统计!H13*2</f>
        <v>6</v>
      </c>
      <c r="G13" s="1">
        <f>SS偏向统计!E13*2</f>
        <v>2</v>
      </c>
      <c r="H13" s="1">
        <f>SS偏向统计!G13*2</f>
        <v>2</v>
      </c>
      <c r="I13" s="1">
        <f>SS偏向统计!G13*3</f>
        <v>3</v>
      </c>
      <c r="J13" s="1">
        <f>SS偏向统计!F13*2</f>
        <v>4</v>
      </c>
    </row>
    <row r="14" spans="1:10">
      <c r="E14" s="1">
        <f>SS偏向统计!E14*3+SS偏向统计!H14*3</f>
        <v>0</v>
      </c>
      <c r="F14" s="1">
        <f>SS偏向统计!F14*3+SS偏向统计!H14*2</f>
        <v>0</v>
      </c>
      <c r="G14" s="1">
        <f>SS偏向统计!E14*2</f>
        <v>0</v>
      </c>
      <c r="H14" s="1">
        <f>SS偏向统计!G14*2</f>
        <v>0</v>
      </c>
      <c r="I14" s="1">
        <f>SS偏向统计!G14*3</f>
        <v>0</v>
      </c>
      <c r="J14" s="1">
        <f>SS偏向统计!F14*2</f>
        <v>0</v>
      </c>
    </row>
    <row r="15" spans="1:10" ht="23.25">
      <c r="A15" s="14">
        <v>44000015</v>
      </c>
      <c r="B15" s="14" t="s">
        <v>14</v>
      </c>
      <c r="C15" s="43" t="s">
        <v>107</v>
      </c>
      <c r="D15" s="43"/>
      <c r="E15" s="1">
        <f>SS偏向统计!E15*3+SS偏向统计!H15*3</f>
        <v>6</v>
      </c>
      <c r="F15" s="1">
        <f>SS偏向统计!F15*3+SS偏向统计!H15*2</f>
        <v>3</v>
      </c>
      <c r="G15" s="1">
        <f>SS偏向统计!E15*2</f>
        <v>4</v>
      </c>
      <c r="H15" s="1">
        <f>SS偏向统计!G15*2</f>
        <v>0</v>
      </c>
      <c r="I15" s="1">
        <f>SS偏向统计!G15*3</f>
        <v>0</v>
      </c>
      <c r="J15" s="1">
        <f>SS偏向统计!F15*2</f>
        <v>2</v>
      </c>
    </row>
    <row r="16" spans="1:10" ht="23.25">
      <c r="A16" s="1">
        <v>44000016</v>
      </c>
      <c r="B16" s="1" t="s">
        <v>15</v>
      </c>
      <c r="C16" s="26" t="s">
        <v>108</v>
      </c>
      <c r="D16" s="26"/>
      <c r="E16" s="1">
        <f>SS偏向统计!E16*3+SS偏向统计!H16*3</f>
        <v>15</v>
      </c>
      <c r="F16" s="1">
        <f>SS偏向统计!F16*3+SS偏向统计!H16*2</f>
        <v>0</v>
      </c>
      <c r="G16" s="1">
        <f>SS偏向统计!E16*2</f>
        <v>10</v>
      </c>
      <c r="H16" s="1">
        <f>SS偏向统计!G16*2</f>
        <v>2</v>
      </c>
      <c r="I16" s="1">
        <f>SS偏向统计!G16*3</f>
        <v>3</v>
      </c>
      <c r="J16" s="1">
        <f>SS偏向统计!F16*2</f>
        <v>0</v>
      </c>
    </row>
    <row r="17" spans="1:10" ht="23.25">
      <c r="A17" s="1">
        <v>44000017</v>
      </c>
      <c r="B17" s="1" t="s">
        <v>16</v>
      </c>
      <c r="C17" s="26" t="s">
        <v>109</v>
      </c>
      <c r="D17" s="26"/>
      <c r="E17" s="1">
        <f>SS偏向统计!E17*3+SS偏向统计!H17*3</f>
        <v>9</v>
      </c>
      <c r="F17" s="1">
        <f>SS偏向统计!F17*3+SS偏向统计!H17*2</f>
        <v>0</v>
      </c>
      <c r="G17" s="1">
        <f>SS偏向统计!E17*2</f>
        <v>6</v>
      </c>
      <c r="H17" s="1">
        <f>SS偏向统计!G17*2</f>
        <v>0</v>
      </c>
      <c r="I17" s="1">
        <f>SS偏向统计!G17*3</f>
        <v>0</v>
      </c>
      <c r="J17" s="1">
        <f>SS偏向统计!F17*2</f>
        <v>0</v>
      </c>
    </row>
    <row r="18" spans="1:10" ht="23.25">
      <c r="A18" s="1">
        <v>44000018</v>
      </c>
      <c r="B18" s="1" t="s">
        <v>17</v>
      </c>
      <c r="C18" s="26" t="s">
        <v>110</v>
      </c>
      <c r="D18" s="26"/>
      <c r="E18" s="1">
        <f>SS偏向统计!E18*3+SS偏向统计!H18*3</f>
        <v>3</v>
      </c>
      <c r="F18" s="1">
        <f>SS偏向统计!F18*3+SS偏向统计!H18*2</f>
        <v>6</v>
      </c>
      <c r="G18" s="1">
        <f>SS偏向统计!E18*2</f>
        <v>2</v>
      </c>
      <c r="H18" s="1">
        <f>SS偏向统计!G18*2</f>
        <v>2</v>
      </c>
      <c r="I18" s="1">
        <f>SS偏向统计!G18*3</f>
        <v>3</v>
      </c>
      <c r="J18" s="1">
        <f>SS偏向统计!F18*2</f>
        <v>4</v>
      </c>
    </row>
    <row r="19" spans="1:10" ht="23.25">
      <c r="A19" s="1">
        <v>44000019</v>
      </c>
      <c r="B19" s="1" t="s">
        <v>18</v>
      </c>
      <c r="C19" s="26" t="s">
        <v>111</v>
      </c>
      <c r="D19" s="26"/>
      <c r="E19" s="1">
        <f>SS偏向统计!E19*3+SS偏向统计!H19*3</f>
        <v>6</v>
      </c>
      <c r="F19" s="1">
        <f>SS偏向统计!F19*3+SS偏向统计!H19*2</f>
        <v>0</v>
      </c>
      <c r="G19" s="1">
        <f>SS偏向统计!E19*2</f>
        <v>4</v>
      </c>
      <c r="H19" s="1">
        <f>SS偏向统计!G19*2</f>
        <v>4</v>
      </c>
      <c r="I19" s="1">
        <f>SS偏向统计!G19*3</f>
        <v>6</v>
      </c>
      <c r="J19" s="1">
        <f>SS偏向统计!F19*2</f>
        <v>0</v>
      </c>
    </row>
    <row r="20" spans="1:10" ht="23.25">
      <c r="A20" s="1">
        <v>44000020</v>
      </c>
      <c r="B20" s="1" t="s">
        <v>19</v>
      </c>
      <c r="C20" s="26" t="s">
        <v>112</v>
      </c>
      <c r="D20" s="26"/>
      <c r="E20" s="1">
        <f>SS偏向统计!E20*3+SS偏向统计!H20*3</f>
        <v>3</v>
      </c>
      <c r="F20" s="1">
        <f>SS偏向统计!F20*3+SS偏向统计!H20*2</f>
        <v>6</v>
      </c>
      <c r="G20" s="1">
        <f>SS偏向统计!E20*2</f>
        <v>2</v>
      </c>
      <c r="H20" s="1">
        <f>SS偏向统计!G20*2</f>
        <v>4</v>
      </c>
      <c r="I20" s="1">
        <f>SS偏向统计!G20*3</f>
        <v>6</v>
      </c>
      <c r="J20" s="1">
        <f>SS偏向统计!F20*2</f>
        <v>4</v>
      </c>
    </row>
    <row r="21" spans="1:10" ht="23.25">
      <c r="A21" s="1">
        <v>44000021</v>
      </c>
      <c r="B21" s="1" t="s">
        <v>20</v>
      </c>
      <c r="C21" s="26" t="s">
        <v>113</v>
      </c>
      <c r="D21" s="26"/>
      <c r="E21" s="1">
        <f>SS偏向统计!E21*3+SS偏向统计!H21*3</f>
        <v>6</v>
      </c>
      <c r="F21" s="1">
        <f>SS偏向统计!F21*3+SS偏向统计!H21*2</f>
        <v>3</v>
      </c>
      <c r="G21" s="1">
        <f>SS偏向统计!E21*2</f>
        <v>4</v>
      </c>
      <c r="H21" s="1">
        <f>SS偏向统计!G21*2</f>
        <v>0</v>
      </c>
      <c r="I21" s="1">
        <f>SS偏向统计!G21*3</f>
        <v>0</v>
      </c>
      <c r="J21" s="1">
        <f>SS偏向统计!F21*2</f>
        <v>2</v>
      </c>
    </row>
    <row r="22" spans="1:10" ht="23.25">
      <c r="A22" s="14">
        <v>44000022</v>
      </c>
      <c r="B22" s="14" t="s">
        <v>21</v>
      </c>
      <c r="C22" s="43" t="s">
        <v>114</v>
      </c>
      <c r="D22" s="43"/>
      <c r="E22" s="1">
        <f>SS偏向统计!E22*3+SS偏向统计!H22*3</f>
        <v>6</v>
      </c>
      <c r="F22" s="1">
        <f>SS偏向统计!F22*3+SS偏向统计!H22*2</f>
        <v>0</v>
      </c>
      <c r="G22" s="1">
        <f>SS偏向统计!E22*2</f>
        <v>4</v>
      </c>
      <c r="H22" s="1">
        <f>SS偏向统计!G22*2</f>
        <v>6</v>
      </c>
      <c r="I22" s="1">
        <f>SS偏向统计!G22*3</f>
        <v>9</v>
      </c>
      <c r="J22" s="1">
        <f>SS偏向统计!F22*2</f>
        <v>0</v>
      </c>
    </row>
    <row r="23" spans="1:10" ht="23.25">
      <c r="A23" s="14">
        <v>44000023</v>
      </c>
      <c r="B23" s="14" t="s">
        <v>22</v>
      </c>
      <c r="C23" s="43" t="s">
        <v>115</v>
      </c>
      <c r="D23" s="43"/>
      <c r="E23" s="1">
        <f>SS偏向统计!E23*3+SS偏向统计!H23*3</f>
        <v>3</v>
      </c>
      <c r="F23" s="1">
        <f>SS偏向统计!F23*3+SS偏向统计!H23*2</f>
        <v>0</v>
      </c>
      <c r="G23" s="1">
        <f>SS偏向统计!E23*2</f>
        <v>2</v>
      </c>
      <c r="H23" s="1">
        <f>SS偏向统计!G23*2</f>
        <v>6</v>
      </c>
      <c r="I23" s="1">
        <f>SS偏向统计!G23*3</f>
        <v>9</v>
      </c>
      <c r="J23" s="1">
        <f>SS偏向统计!F23*2</f>
        <v>0</v>
      </c>
    </row>
    <row r="24" spans="1:10" ht="29.25">
      <c r="A24" s="14">
        <v>44000024</v>
      </c>
      <c r="B24" s="14" t="s">
        <v>23</v>
      </c>
      <c r="C24" s="43" t="s">
        <v>116</v>
      </c>
      <c r="D24" s="43"/>
      <c r="E24" s="1">
        <f>SS偏向统计!E24*3+SS偏向统计!H24*3</f>
        <v>15</v>
      </c>
      <c r="F24" s="1">
        <f>SS偏向统计!F24*3+SS偏向统计!H24*2</f>
        <v>3</v>
      </c>
      <c r="G24" s="1">
        <f>SS偏向统计!E24*2</f>
        <v>10</v>
      </c>
      <c r="H24" s="1">
        <f>SS偏向统计!G24*2</f>
        <v>0</v>
      </c>
      <c r="I24" s="1">
        <f>SS偏向统计!G24*3</f>
        <v>0</v>
      </c>
      <c r="J24" s="1">
        <f>SS偏向统计!F24*2</f>
        <v>2</v>
      </c>
    </row>
    <row r="25" spans="1:10" ht="23.25">
      <c r="A25" s="14">
        <v>44000025</v>
      </c>
      <c r="B25" s="14" t="s">
        <v>24</v>
      </c>
      <c r="C25" s="43" t="s">
        <v>117</v>
      </c>
      <c r="D25" s="43"/>
      <c r="E25" s="1">
        <f>SS偏向统计!E25*3+SS偏向统计!H25*3</f>
        <v>12</v>
      </c>
      <c r="F25" s="1">
        <f>SS偏向统计!F25*3+SS偏向统计!H25*2</f>
        <v>0</v>
      </c>
      <c r="G25" s="1">
        <f>SS偏向统计!E25*2</f>
        <v>8</v>
      </c>
      <c r="H25" s="1">
        <f>SS偏向统计!G25*2</f>
        <v>2</v>
      </c>
      <c r="I25" s="1">
        <f>SS偏向统计!G25*3</f>
        <v>3</v>
      </c>
      <c r="J25" s="1">
        <f>SS偏向统计!F25*2</f>
        <v>0</v>
      </c>
    </row>
    <row r="26" spans="1:10" ht="23.25">
      <c r="A26" s="14">
        <v>44000026</v>
      </c>
      <c r="B26" s="14" t="s">
        <v>25</v>
      </c>
      <c r="C26" s="43" t="s">
        <v>118</v>
      </c>
      <c r="D26" s="43"/>
      <c r="E26" s="1">
        <f>SS偏向统计!E26*3+SS偏向统计!H26*3</f>
        <v>0</v>
      </c>
      <c r="F26" s="1">
        <f>SS偏向统计!F26*3+SS偏向统计!H26*2</f>
        <v>3</v>
      </c>
      <c r="G26" s="1">
        <f>SS偏向统计!E26*2</f>
        <v>0</v>
      </c>
      <c r="H26" s="1">
        <f>SS偏向统计!G26*2</f>
        <v>6</v>
      </c>
      <c r="I26" s="1">
        <f>SS偏向统计!G26*3</f>
        <v>9</v>
      </c>
      <c r="J26" s="1">
        <f>SS偏向统计!F26*2</f>
        <v>2</v>
      </c>
    </row>
    <row r="27" spans="1:10">
      <c r="E27" s="1">
        <f>SS偏向统计!E27*3+SS偏向统计!H27*3</f>
        <v>0</v>
      </c>
      <c r="F27" s="1">
        <f>SS偏向统计!F27*3+SS偏向统计!H27*2</f>
        <v>0</v>
      </c>
      <c r="G27" s="1">
        <f>SS偏向统计!E27*2</f>
        <v>0</v>
      </c>
      <c r="H27" s="1">
        <f>SS偏向统计!G27*2</f>
        <v>0</v>
      </c>
      <c r="I27" s="1">
        <f>SS偏向统计!G27*3</f>
        <v>0</v>
      </c>
      <c r="J27" s="1">
        <f>SS偏向统计!F27*2</f>
        <v>0</v>
      </c>
    </row>
    <row r="28" spans="1:10">
      <c r="E28" s="1">
        <f>SS偏向统计!E28*3+SS偏向统计!H28*3</f>
        <v>0</v>
      </c>
      <c r="F28" s="1">
        <f>SS偏向统计!F28*3+SS偏向统计!H28*2</f>
        <v>0</v>
      </c>
      <c r="G28" s="1">
        <f>SS偏向统计!E28*2</f>
        <v>0</v>
      </c>
      <c r="H28" s="1">
        <f>SS偏向统计!G28*2</f>
        <v>0</v>
      </c>
      <c r="I28" s="1">
        <f>SS偏向统计!G28*3</f>
        <v>0</v>
      </c>
      <c r="J28" s="1">
        <f>SS偏向统计!F28*2</f>
        <v>0</v>
      </c>
    </row>
    <row r="29" spans="1:10">
      <c r="E29" s="1">
        <f>SS偏向统计!E29*3+SS偏向统计!H29*3</f>
        <v>0</v>
      </c>
      <c r="F29" s="1">
        <f>SS偏向统计!F29*3+SS偏向统计!H29*2</f>
        <v>0</v>
      </c>
      <c r="G29" s="1">
        <f>SS偏向统计!E29*2</f>
        <v>0</v>
      </c>
      <c r="H29" s="1">
        <f>SS偏向统计!G29*2</f>
        <v>0</v>
      </c>
      <c r="I29" s="1">
        <f>SS偏向统计!G29*3</f>
        <v>0</v>
      </c>
      <c r="J29" s="1">
        <f>SS偏向统计!F29*2</f>
        <v>0</v>
      </c>
    </row>
    <row r="30" spans="1:10">
      <c r="E30" s="1">
        <f>SS偏向统计!E30*3+SS偏向统计!H30*3</f>
        <v>0</v>
      </c>
      <c r="F30" s="1">
        <f>SS偏向统计!F30*3+SS偏向统计!H30*2</f>
        <v>0</v>
      </c>
      <c r="G30" s="1">
        <f>SS偏向统计!E30*2</f>
        <v>0</v>
      </c>
      <c r="H30" s="1">
        <f>SS偏向统计!G30*2</f>
        <v>0</v>
      </c>
      <c r="I30" s="1">
        <f>SS偏向统计!G30*3</f>
        <v>0</v>
      </c>
      <c r="J30" s="1">
        <f>SS偏向统计!F30*2</f>
        <v>0</v>
      </c>
    </row>
    <row r="31" spans="1:10">
      <c r="E31" s="1">
        <f>SS偏向统计!E31*3+SS偏向统计!H31*3</f>
        <v>0</v>
      </c>
      <c r="F31" s="1">
        <f>SS偏向统计!F31*3+SS偏向统计!H31*2</f>
        <v>0</v>
      </c>
      <c r="G31" s="1">
        <f>SS偏向统计!E31*2</f>
        <v>0</v>
      </c>
      <c r="H31" s="1">
        <f>SS偏向统计!G31*2</f>
        <v>0</v>
      </c>
      <c r="I31" s="1">
        <f>SS偏向统计!G31*3</f>
        <v>0</v>
      </c>
      <c r="J31" s="1">
        <f>SS偏向统计!F31*2</f>
        <v>0</v>
      </c>
    </row>
    <row r="32" spans="1:10">
      <c r="E32" s="1">
        <f>SS偏向统计!E32*3+SS偏向统计!H32*3</f>
        <v>0</v>
      </c>
      <c r="F32" s="1">
        <f>SS偏向统计!F32*3+SS偏向统计!H32*2</f>
        <v>0</v>
      </c>
      <c r="G32" s="1">
        <f>SS偏向统计!E32*2</f>
        <v>0</v>
      </c>
      <c r="H32" s="1">
        <f>SS偏向统计!G32*2</f>
        <v>0</v>
      </c>
      <c r="I32" s="1">
        <f>SS偏向统计!G32*3</f>
        <v>0</v>
      </c>
      <c r="J32" s="1">
        <f>SS偏向统计!F32*2</f>
        <v>0</v>
      </c>
    </row>
    <row r="33" spans="1:10">
      <c r="E33" s="1">
        <f>SS偏向统计!E33*3+SS偏向统计!H33*3</f>
        <v>0</v>
      </c>
      <c r="F33" s="1">
        <f>SS偏向统计!F33*3+SS偏向统计!H33*2</f>
        <v>0</v>
      </c>
      <c r="G33" s="1">
        <f>SS偏向统计!E33*2</f>
        <v>0</v>
      </c>
      <c r="H33" s="1">
        <f>SS偏向统计!G33*2</f>
        <v>0</v>
      </c>
      <c r="I33" s="1">
        <f>SS偏向统计!G33*3</f>
        <v>0</v>
      </c>
      <c r="J33" s="1">
        <f>SS偏向统计!F33*2</f>
        <v>0</v>
      </c>
    </row>
    <row r="34" spans="1:10">
      <c r="A34" s="14">
        <v>44000034</v>
      </c>
      <c r="B34" s="15" t="s">
        <v>26</v>
      </c>
      <c r="C34" s="43"/>
      <c r="D34" s="43"/>
      <c r="E34" s="1">
        <f>SS偏向统计!E34*3+SS偏向统计!H34*3</f>
        <v>3</v>
      </c>
      <c r="F34" s="1">
        <f>SS偏向统计!F34*3+SS偏向统计!H34*2</f>
        <v>0</v>
      </c>
      <c r="G34" s="1">
        <f>SS偏向统计!E34*2</f>
        <v>2</v>
      </c>
      <c r="H34" s="1">
        <f>SS偏向统计!G34*2</f>
        <v>0</v>
      </c>
      <c r="I34" s="1">
        <f>SS偏向统计!G34*3</f>
        <v>0</v>
      </c>
      <c r="J34" s="1">
        <f>SS偏向统计!F34*2</f>
        <v>0</v>
      </c>
    </row>
    <row r="35" spans="1:10" ht="23.25">
      <c r="A35" s="14">
        <v>44000035</v>
      </c>
      <c r="B35" s="15" t="s">
        <v>27</v>
      </c>
      <c r="C35" s="44" t="s">
        <v>119</v>
      </c>
      <c r="D35" s="44"/>
      <c r="E35" s="1">
        <f>SS偏向统计!E35*3+SS偏向统计!H35*3</f>
        <v>3</v>
      </c>
      <c r="F35" s="1">
        <f>SS偏向统计!F35*3+SS偏向统计!H35*2</f>
        <v>0</v>
      </c>
      <c r="G35" s="1">
        <f>SS偏向统计!E35*2</f>
        <v>2</v>
      </c>
      <c r="H35" s="1">
        <f>SS偏向统计!G35*2</f>
        <v>2</v>
      </c>
      <c r="I35" s="1">
        <f>SS偏向统计!G35*3</f>
        <v>3</v>
      </c>
      <c r="J35" s="1">
        <f>SS偏向统计!F35*2</f>
        <v>0</v>
      </c>
    </row>
    <row r="36" spans="1:10" ht="23.25">
      <c r="A36" s="14">
        <v>44000036</v>
      </c>
      <c r="B36" s="14" t="s">
        <v>28</v>
      </c>
      <c r="C36" s="43" t="s">
        <v>120</v>
      </c>
      <c r="D36" s="43"/>
      <c r="E36" s="1">
        <f>SS偏向统计!E36*3+SS偏向统计!H36*3</f>
        <v>3</v>
      </c>
      <c r="F36" s="1">
        <f>SS偏向统计!F36*3+SS偏向统计!H36*2</f>
        <v>9</v>
      </c>
      <c r="G36" s="1">
        <f>SS偏向统计!E36*2</f>
        <v>2</v>
      </c>
      <c r="H36" s="1">
        <f>SS偏向统计!G36*2</f>
        <v>0</v>
      </c>
      <c r="I36" s="1">
        <f>SS偏向统计!G36*3</f>
        <v>0</v>
      </c>
      <c r="J36" s="1">
        <f>SS偏向统计!F36*2</f>
        <v>6</v>
      </c>
    </row>
    <row r="37" spans="1:10">
      <c r="A37" s="1">
        <v>44000037</v>
      </c>
      <c r="B37" s="2" t="s">
        <v>29</v>
      </c>
      <c r="C37" s="26"/>
      <c r="D37" s="26"/>
      <c r="E37" s="1">
        <f>SS偏向统计!E37*3+SS偏向统计!H37*3</f>
        <v>0</v>
      </c>
      <c r="F37" s="1">
        <f>SS偏向统计!F37*3+SS偏向统计!H37*2</f>
        <v>0</v>
      </c>
      <c r="G37" s="1">
        <f>SS偏向统计!E37*2</f>
        <v>0</v>
      </c>
      <c r="H37" s="1">
        <f>SS偏向统计!G37*2</f>
        <v>0</v>
      </c>
      <c r="I37" s="1">
        <f>SS偏向统计!G37*3</f>
        <v>0</v>
      </c>
      <c r="J37" s="1">
        <f>SS偏向统计!F37*2</f>
        <v>0</v>
      </c>
    </row>
    <row r="38" spans="1:10" ht="23.25">
      <c r="A38" s="1">
        <v>44000038</v>
      </c>
      <c r="B38" s="1" t="s">
        <v>30</v>
      </c>
      <c r="C38" s="26" t="s">
        <v>121</v>
      </c>
      <c r="D38" s="26"/>
      <c r="E38" s="1">
        <f>SS偏向统计!E38*3+SS偏向统计!H38*3</f>
        <v>6</v>
      </c>
      <c r="F38" s="1">
        <f>SS偏向统计!F38*3+SS偏向统计!H38*2</f>
        <v>0</v>
      </c>
      <c r="G38" s="1">
        <f>SS偏向统计!E38*2</f>
        <v>4</v>
      </c>
      <c r="H38" s="1">
        <f>SS偏向统计!G38*2</f>
        <v>4</v>
      </c>
      <c r="I38" s="1">
        <f>SS偏向统计!G38*3</f>
        <v>6</v>
      </c>
      <c r="J38" s="1">
        <f>SS偏向统计!F38*2</f>
        <v>0</v>
      </c>
    </row>
    <row r="39" spans="1:10" ht="23.25">
      <c r="A39" s="1">
        <v>44000039</v>
      </c>
      <c r="B39" s="1" t="s">
        <v>31</v>
      </c>
      <c r="C39" s="26" t="s">
        <v>122</v>
      </c>
      <c r="D39" s="26"/>
      <c r="E39" s="1">
        <f>SS偏向统计!E39*3+SS偏向统计!H39*3</f>
        <v>0</v>
      </c>
      <c r="F39" s="1">
        <f>SS偏向统计!F39*3+SS偏向统计!H39*2</f>
        <v>0</v>
      </c>
      <c r="G39" s="1">
        <f>SS偏向统计!E39*2</f>
        <v>0</v>
      </c>
      <c r="H39" s="1">
        <f>SS偏向统计!G39*2</f>
        <v>6</v>
      </c>
      <c r="I39" s="1">
        <f>SS偏向统计!G39*3</f>
        <v>9</v>
      </c>
      <c r="J39" s="1">
        <f>SS偏向统计!F39*2</f>
        <v>0</v>
      </c>
    </row>
    <row r="40" spans="1:10" ht="23.25">
      <c r="A40" s="1">
        <v>44000040</v>
      </c>
      <c r="B40" s="1" t="s">
        <v>32</v>
      </c>
      <c r="C40" s="26" t="s">
        <v>123</v>
      </c>
      <c r="D40" s="26"/>
      <c r="E40" s="1">
        <f>SS偏向统计!E40*3+SS偏向统计!H40*3</f>
        <v>3</v>
      </c>
      <c r="F40" s="1">
        <f>SS偏向统计!F40*3+SS偏向统计!H40*2</f>
        <v>3</v>
      </c>
      <c r="G40" s="1">
        <f>SS偏向统计!E40*2</f>
        <v>2</v>
      </c>
      <c r="H40" s="1">
        <f>SS偏向统计!G40*2</f>
        <v>0</v>
      </c>
      <c r="I40" s="1">
        <f>SS偏向统计!G40*3</f>
        <v>0</v>
      </c>
      <c r="J40" s="1">
        <f>SS偏向统计!F40*2</f>
        <v>2</v>
      </c>
    </row>
    <row r="41" spans="1:10" ht="23.25">
      <c r="A41" s="1">
        <v>44000041</v>
      </c>
      <c r="B41" s="1" t="s">
        <v>33</v>
      </c>
      <c r="C41" s="26" t="s">
        <v>124</v>
      </c>
      <c r="D41" s="26"/>
      <c r="E41" s="1">
        <f>SS偏向统计!E41*3+SS偏向统计!H41*3</f>
        <v>0</v>
      </c>
      <c r="F41" s="1">
        <f>SS偏向统计!F41*3+SS偏向统计!H41*2</f>
        <v>0</v>
      </c>
      <c r="G41" s="1">
        <f>SS偏向统计!E41*2</f>
        <v>0</v>
      </c>
      <c r="H41" s="1">
        <f>SS偏向统计!G41*2</f>
        <v>6</v>
      </c>
      <c r="I41" s="1">
        <f>SS偏向统计!G41*3</f>
        <v>9</v>
      </c>
      <c r="J41" s="1">
        <f>SS偏向统计!F41*2</f>
        <v>0</v>
      </c>
    </row>
    <row r="42" spans="1:10" ht="23.25">
      <c r="A42" s="1">
        <v>44000042</v>
      </c>
      <c r="B42" s="1" t="s">
        <v>34</v>
      </c>
      <c r="C42" s="26" t="s">
        <v>125</v>
      </c>
      <c r="D42" s="26"/>
      <c r="E42" s="1">
        <f>SS偏向统计!E42*3+SS偏向统计!H42*3</f>
        <v>0</v>
      </c>
      <c r="F42" s="1">
        <f>SS偏向统计!F42*3+SS偏向统计!H42*2</f>
        <v>9</v>
      </c>
      <c r="G42" s="1">
        <f>SS偏向统计!E42*2</f>
        <v>0</v>
      </c>
      <c r="H42" s="1">
        <f>SS偏向统计!G42*2</f>
        <v>2</v>
      </c>
      <c r="I42" s="1">
        <f>SS偏向统计!G42*3</f>
        <v>3</v>
      </c>
      <c r="J42" s="1">
        <f>SS偏向统计!F42*2</f>
        <v>6</v>
      </c>
    </row>
    <row r="43" spans="1:10" ht="23.25">
      <c r="A43" s="1">
        <v>44000043</v>
      </c>
      <c r="B43" s="1" t="s">
        <v>35</v>
      </c>
      <c r="C43" s="26" t="s">
        <v>126</v>
      </c>
      <c r="D43" s="26"/>
      <c r="E43" s="1">
        <f>SS偏向统计!E43*3+SS偏向统计!H43*3</f>
        <v>0</v>
      </c>
      <c r="F43" s="1">
        <f>SS偏向统计!F43*3+SS偏向统计!H43*2</f>
        <v>3</v>
      </c>
      <c r="G43" s="1">
        <f>SS偏向统计!E43*2</f>
        <v>0</v>
      </c>
      <c r="H43" s="1">
        <f>SS偏向统计!G43*2</f>
        <v>6</v>
      </c>
      <c r="I43" s="1">
        <f>SS偏向统计!G43*3</f>
        <v>9</v>
      </c>
      <c r="J43" s="1">
        <f>SS偏向统计!F43*2</f>
        <v>2</v>
      </c>
    </row>
    <row r="44" spans="1:10" ht="23.25">
      <c r="A44" s="14">
        <v>44000044</v>
      </c>
      <c r="B44" s="14" t="s">
        <v>36</v>
      </c>
      <c r="C44" s="43" t="s">
        <v>37</v>
      </c>
      <c r="D44" s="43"/>
      <c r="E44" s="1">
        <f>SS偏向统计!E44*3+SS偏向统计!H44*3</f>
        <v>3</v>
      </c>
      <c r="F44" s="1">
        <f>SS偏向统计!F44*3+SS偏向统计!H44*2</f>
        <v>0</v>
      </c>
      <c r="G44" s="1">
        <f>SS偏向统计!E44*2</f>
        <v>2</v>
      </c>
      <c r="H44" s="1">
        <f>SS偏向统计!G44*2</f>
        <v>4</v>
      </c>
      <c r="I44" s="1">
        <f>SS偏向统计!G44*3</f>
        <v>6</v>
      </c>
      <c r="J44" s="1">
        <f>SS偏向统计!F44*2</f>
        <v>0</v>
      </c>
    </row>
    <row r="45" spans="1:10" ht="23.25">
      <c r="A45" s="14">
        <v>44000045</v>
      </c>
      <c r="B45" s="14" t="s">
        <v>38</v>
      </c>
      <c r="C45" s="43" t="s">
        <v>39</v>
      </c>
      <c r="D45" s="43"/>
      <c r="E45" s="1">
        <f>SS偏向统计!E45*3+SS偏向统计!H45*3</f>
        <v>6</v>
      </c>
      <c r="F45" s="1">
        <f>SS偏向统计!F45*3+SS偏向统计!H45*2</f>
        <v>3</v>
      </c>
      <c r="G45" s="1">
        <f>SS偏向统计!E45*2</f>
        <v>4</v>
      </c>
      <c r="H45" s="1">
        <f>SS偏向统计!G45*2</f>
        <v>0</v>
      </c>
      <c r="I45" s="1">
        <f>SS偏向统计!G45*3</f>
        <v>0</v>
      </c>
      <c r="J45" s="1">
        <f>SS偏向统计!F45*2</f>
        <v>2</v>
      </c>
    </row>
    <row r="46" spans="1:10" ht="23.25">
      <c r="A46" s="14">
        <v>44000046</v>
      </c>
      <c r="B46" s="14" t="s">
        <v>40</v>
      </c>
      <c r="C46" s="43" t="s">
        <v>41</v>
      </c>
      <c r="D46" s="43"/>
      <c r="E46" s="1">
        <f>SS偏向统计!E46*3+SS偏向统计!H46*3</f>
        <v>3</v>
      </c>
      <c r="F46" s="1">
        <f>SS偏向统计!F46*3+SS偏向统计!H46*2</f>
        <v>3</v>
      </c>
      <c r="G46" s="1">
        <f>SS偏向统计!E46*2</f>
        <v>2</v>
      </c>
      <c r="H46" s="1">
        <f>SS偏向统计!G46*2</f>
        <v>2</v>
      </c>
      <c r="I46" s="1">
        <f>SS偏向统计!G46*3</f>
        <v>3</v>
      </c>
      <c r="J46" s="1">
        <f>SS偏向统计!F46*2</f>
        <v>2</v>
      </c>
    </row>
    <row r="47" spans="1:10" ht="23.25">
      <c r="A47" s="14">
        <v>44000047</v>
      </c>
      <c r="B47" s="14" t="s">
        <v>42</v>
      </c>
      <c r="C47" s="43" t="s">
        <v>43</v>
      </c>
      <c r="D47" s="43"/>
      <c r="E47" s="1">
        <f>SS偏向统计!E47*3+SS偏向统计!H47*3</f>
        <v>0</v>
      </c>
      <c r="F47" s="1">
        <f>SS偏向统计!F47*3+SS偏向统计!H47*2</f>
        <v>0</v>
      </c>
      <c r="G47" s="1">
        <f>SS偏向统计!E47*2</f>
        <v>0</v>
      </c>
      <c r="H47" s="1">
        <f>SS偏向统计!G47*2</f>
        <v>6</v>
      </c>
      <c r="I47" s="1">
        <f>SS偏向统计!G47*3</f>
        <v>9</v>
      </c>
      <c r="J47" s="1">
        <f>SS偏向统计!F47*2</f>
        <v>0</v>
      </c>
    </row>
    <row r="48" spans="1:10" ht="23.25">
      <c r="A48" s="14">
        <v>44000048</v>
      </c>
      <c r="B48" s="14" t="s">
        <v>44</v>
      </c>
      <c r="C48" s="43" t="s">
        <v>45</v>
      </c>
      <c r="D48" s="43"/>
      <c r="E48" s="1">
        <f>SS偏向统计!E48*3+SS偏向统计!H48*3</f>
        <v>0</v>
      </c>
      <c r="F48" s="1">
        <f>SS偏向统计!F48*3+SS偏向统计!H48*2</f>
        <v>3</v>
      </c>
      <c r="G48" s="1">
        <f>SS偏向统计!E48*2</f>
        <v>0</v>
      </c>
      <c r="H48" s="1">
        <f>SS偏向统计!G48*2</f>
        <v>6</v>
      </c>
      <c r="I48" s="1">
        <f>SS偏向统计!G48*3</f>
        <v>9</v>
      </c>
      <c r="J48" s="1">
        <f>SS偏向统计!F48*2</f>
        <v>2</v>
      </c>
    </row>
    <row r="49" spans="1:10" ht="23.25">
      <c r="A49" s="14">
        <v>44000049</v>
      </c>
      <c r="B49" s="14" t="s">
        <v>46</v>
      </c>
      <c r="C49" s="43" t="s">
        <v>47</v>
      </c>
      <c r="D49" s="43"/>
      <c r="E49" s="1">
        <f>SS偏向统计!E49*3+SS偏向统计!H49*3</f>
        <v>0</v>
      </c>
      <c r="F49" s="1">
        <f>SS偏向统计!F49*3+SS偏向统计!H49*2</f>
        <v>0</v>
      </c>
      <c r="G49" s="1">
        <f>SS偏向统计!E49*2</f>
        <v>0</v>
      </c>
      <c r="H49" s="1">
        <f>SS偏向统计!G49*2</f>
        <v>6</v>
      </c>
      <c r="I49" s="1">
        <f>SS偏向统计!G49*3</f>
        <v>9</v>
      </c>
      <c r="J49" s="1">
        <f>SS偏向统计!F49*2</f>
        <v>0</v>
      </c>
    </row>
    <row r="50" spans="1:10" ht="23.25">
      <c r="A50" s="1">
        <v>44000050</v>
      </c>
      <c r="B50" s="1" t="s">
        <v>48</v>
      </c>
      <c r="C50" s="26" t="s">
        <v>49</v>
      </c>
      <c r="D50" s="26"/>
      <c r="E50" s="1">
        <f>SS偏向统计!E50*3+SS偏向统计!H50*3</f>
        <v>0</v>
      </c>
      <c r="F50" s="1">
        <f>SS偏向统计!F50*3+SS偏向统计!H50*2</f>
        <v>0</v>
      </c>
      <c r="G50" s="1">
        <f>SS偏向统计!E50*2</f>
        <v>0</v>
      </c>
      <c r="H50" s="1">
        <f>SS偏向统计!G50*2</f>
        <v>6</v>
      </c>
      <c r="I50" s="1">
        <f>SS偏向统计!G50*3</f>
        <v>9</v>
      </c>
      <c r="J50" s="1">
        <f>SS偏向统计!F50*2</f>
        <v>0</v>
      </c>
    </row>
    <row r="51" spans="1:10" ht="23.25">
      <c r="A51" s="1">
        <v>44000051</v>
      </c>
      <c r="B51" s="1" t="s">
        <v>50</v>
      </c>
      <c r="C51" s="26" t="s">
        <v>51</v>
      </c>
      <c r="D51" s="26"/>
      <c r="E51" s="1">
        <f>SS偏向统计!E51*3+SS偏向统计!H51*3</f>
        <v>3</v>
      </c>
      <c r="F51" s="1">
        <f>SS偏向统计!F51*3+SS偏向统计!H51*2</f>
        <v>3</v>
      </c>
      <c r="G51" s="1">
        <f>SS偏向统计!E51*2</f>
        <v>2</v>
      </c>
      <c r="H51" s="1">
        <f>SS偏向统计!G51*2</f>
        <v>2</v>
      </c>
      <c r="I51" s="1">
        <f>SS偏向统计!G51*3</f>
        <v>3</v>
      </c>
      <c r="J51" s="1">
        <f>SS偏向统计!F51*2</f>
        <v>2</v>
      </c>
    </row>
    <row r="52" spans="1:10" ht="23.25">
      <c r="A52" s="1">
        <v>44000052</v>
      </c>
      <c r="B52" s="1" t="s">
        <v>52</v>
      </c>
      <c r="C52" s="26" t="s">
        <v>53</v>
      </c>
      <c r="D52" s="26"/>
      <c r="E52" s="1">
        <f>SS偏向统计!E52*3+SS偏向统计!H52*3</f>
        <v>0</v>
      </c>
      <c r="F52" s="1">
        <f>SS偏向统计!F52*3+SS偏向统计!H52*2</f>
        <v>0</v>
      </c>
      <c r="G52" s="1">
        <f>SS偏向统计!E52*2</f>
        <v>0</v>
      </c>
      <c r="H52" s="1">
        <f>SS偏向统计!G52*2</f>
        <v>4</v>
      </c>
      <c r="I52" s="1">
        <f>SS偏向统计!G52*3</f>
        <v>6</v>
      </c>
      <c r="J52" s="1">
        <f>SS偏向统计!F52*2</f>
        <v>0</v>
      </c>
    </row>
    <row r="53" spans="1:10" ht="23.25">
      <c r="A53" s="1">
        <v>44000053</v>
      </c>
      <c r="B53" s="1" t="s">
        <v>54</v>
      </c>
      <c r="C53" s="26" t="s">
        <v>55</v>
      </c>
      <c r="D53" s="26"/>
      <c r="E53" s="1">
        <f>SS偏向统计!E53*3+SS偏向统计!H53*3</f>
        <v>9</v>
      </c>
      <c r="F53" s="1">
        <f>SS偏向统计!F53*3+SS偏向统计!H53*2</f>
        <v>0</v>
      </c>
      <c r="G53" s="1">
        <f>SS偏向统计!E53*2</f>
        <v>6</v>
      </c>
      <c r="H53" s="1">
        <f>SS偏向统计!G53*2</f>
        <v>0</v>
      </c>
      <c r="I53" s="1">
        <f>SS偏向统计!G53*3</f>
        <v>0</v>
      </c>
      <c r="J53" s="1">
        <f>SS偏向统计!F53*2</f>
        <v>0</v>
      </c>
    </row>
    <row r="54" spans="1:10" ht="23.25">
      <c r="A54" s="1">
        <v>44000054</v>
      </c>
      <c r="B54" s="1" t="s">
        <v>56</v>
      </c>
      <c r="C54" s="26" t="s">
        <v>57</v>
      </c>
      <c r="D54" s="26"/>
      <c r="E54" s="1">
        <f>SS偏向统计!E54*3+SS偏向统计!H54*3</f>
        <v>12</v>
      </c>
      <c r="F54" s="1">
        <f>SS偏向统计!F54*3+SS偏向统计!H54*2</f>
        <v>0</v>
      </c>
      <c r="G54" s="1">
        <f>SS偏向统计!E54*2</f>
        <v>8</v>
      </c>
      <c r="H54" s="1">
        <f>SS偏向统计!G54*2</f>
        <v>0</v>
      </c>
      <c r="I54" s="1">
        <f>SS偏向统计!G54*3</f>
        <v>0</v>
      </c>
      <c r="J54" s="1">
        <f>SS偏向统计!F54*2</f>
        <v>0</v>
      </c>
    </row>
    <row r="55" spans="1:10" ht="23.25">
      <c r="A55" s="1">
        <v>44000055</v>
      </c>
      <c r="B55" s="1" t="s">
        <v>58</v>
      </c>
      <c r="C55" s="26" t="s">
        <v>59</v>
      </c>
      <c r="D55" s="26"/>
      <c r="E55" s="1">
        <f>SS偏向统计!E55*3+SS偏向统计!H55*3</f>
        <v>3</v>
      </c>
      <c r="F55" s="1">
        <f>SS偏向统计!F55*3+SS偏向统计!H55*2</f>
        <v>3</v>
      </c>
      <c r="G55" s="1">
        <f>SS偏向统计!E55*2</f>
        <v>2</v>
      </c>
      <c r="H55" s="1">
        <f>SS偏向统计!G55*2</f>
        <v>2</v>
      </c>
      <c r="I55" s="1">
        <f>SS偏向统计!G55*3</f>
        <v>3</v>
      </c>
      <c r="J55" s="1">
        <f>SS偏向统计!F55*2</f>
        <v>2</v>
      </c>
    </row>
    <row r="56" spans="1:10" ht="29.25">
      <c r="A56" s="14">
        <v>44000056</v>
      </c>
      <c r="B56" s="14" t="s">
        <v>60</v>
      </c>
      <c r="C56" s="43" t="s">
        <v>61</v>
      </c>
      <c r="D56" s="43"/>
      <c r="E56" s="1">
        <f>SS偏向统计!E56*3+SS偏向统计!H56*3</f>
        <v>6</v>
      </c>
      <c r="F56" s="1">
        <f>SS偏向统计!F56*3+SS偏向统计!H56*2</f>
        <v>0</v>
      </c>
      <c r="G56" s="1">
        <f>SS偏向统计!E56*2</f>
        <v>4</v>
      </c>
      <c r="H56" s="1">
        <f>SS偏向统计!G56*2</f>
        <v>4</v>
      </c>
      <c r="I56" s="1">
        <f>SS偏向统计!G56*3</f>
        <v>6</v>
      </c>
      <c r="J56" s="1">
        <f>SS偏向统计!F56*2</f>
        <v>0</v>
      </c>
    </row>
    <row r="57" spans="1:10" ht="23.25">
      <c r="A57" s="14">
        <v>44000057</v>
      </c>
      <c r="B57" s="14" t="s">
        <v>62</v>
      </c>
      <c r="C57" s="43" t="s">
        <v>63</v>
      </c>
      <c r="D57" s="43"/>
      <c r="E57" s="1">
        <f>SS偏向统计!E57*3+SS偏向统计!H57*3</f>
        <v>0</v>
      </c>
      <c r="F57" s="1">
        <f>SS偏向统计!F57*3+SS偏向统计!H57*2</f>
        <v>0</v>
      </c>
      <c r="G57" s="1">
        <f>SS偏向统计!E57*2</f>
        <v>0</v>
      </c>
      <c r="H57" s="1">
        <f>SS偏向统计!G57*2</f>
        <v>8</v>
      </c>
      <c r="I57" s="1">
        <f>SS偏向统计!G57*3</f>
        <v>12</v>
      </c>
      <c r="J57" s="1">
        <f>SS偏向统计!F57*2</f>
        <v>0</v>
      </c>
    </row>
    <row r="58" spans="1:10" ht="29.25">
      <c r="A58" s="14">
        <v>44000058</v>
      </c>
      <c r="B58" s="14" t="s">
        <v>64</v>
      </c>
      <c r="C58" s="43" t="s">
        <v>65</v>
      </c>
      <c r="D58" s="43"/>
      <c r="E58" s="1">
        <f>SS偏向统计!E58*3+SS偏向统计!H58*3</f>
        <v>3</v>
      </c>
      <c r="F58" s="1">
        <f>SS偏向统计!F58*3+SS偏向统计!H58*2</f>
        <v>6</v>
      </c>
      <c r="G58" s="1">
        <f>SS偏向统计!E58*2</f>
        <v>2</v>
      </c>
      <c r="H58" s="1">
        <f>SS偏向统计!G58*2</f>
        <v>2</v>
      </c>
      <c r="I58" s="1">
        <f>SS偏向统计!G58*3</f>
        <v>3</v>
      </c>
      <c r="J58" s="1">
        <f>SS偏向统计!F58*2</f>
        <v>4</v>
      </c>
    </row>
    <row r="59" spans="1:10" ht="29.25">
      <c r="A59" s="14">
        <v>44000059</v>
      </c>
      <c r="B59" s="14" t="s">
        <v>66</v>
      </c>
      <c r="C59" s="43" t="s">
        <v>67</v>
      </c>
      <c r="D59" s="43"/>
      <c r="E59" s="1">
        <f>SS偏向统计!E59*3+SS偏向统计!H59*3</f>
        <v>0</v>
      </c>
      <c r="F59" s="1">
        <f>SS偏向统计!F59*3+SS偏向统计!H59*2</f>
        <v>0</v>
      </c>
      <c r="G59" s="1">
        <f>SS偏向统计!E59*2</f>
        <v>0</v>
      </c>
      <c r="H59" s="1">
        <f>SS偏向统计!G59*2</f>
        <v>6</v>
      </c>
      <c r="I59" s="1">
        <f>SS偏向统计!G59*3</f>
        <v>9</v>
      </c>
      <c r="J59" s="1">
        <f>SS偏向统计!F59*2</f>
        <v>0</v>
      </c>
    </row>
    <row r="60" spans="1:10" ht="29.25">
      <c r="A60" s="14">
        <v>44000060</v>
      </c>
      <c r="B60" s="14" t="s">
        <v>68</v>
      </c>
      <c r="C60" s="43" t="s">
        <v>69</v>
      </c>
      <c r="D60" s="43"/>
      <c r="E60" s="1">
        <f>SS偏向统计!E60*3+SS偏向统计!H60*3</f>
        <v>0</v>
      </c>
      <c r="F60" s="1">
        <f>SS偏向统计!F60*3+SS偏向统计!H60*2</f>
        <v>0</v>
      </c>
      <c r="G60" s="1">
        <f>SS偏向统计!E60*2</f>
        <v>0</v>
      </c>
      <c r="H60" s="1">
        <f>SS偏向统计!G60*2</f>
        <v>8</v>
      </c>
      <c r="I60" s="1">
        <f>SS偏向统计!G60*3</f>
        <v>12</v>
      </c>
      <c r="J60" s="1">
        <f>SS偏向统计!F60*2</f>
        <v>0</v>
      </c>
    </row>
    <row r="61" spans="1:10" ht="29.25">
      <c r="A61" s="14">
        <v>44000061</v>
      </c>
      <c r="B61" s="14" t="s">
        <v>70</v>
      </c>
      <c r="C61" s="43" t="s">
        <v>71</v>
      </c>
      <c r="D61" s="43"/>
      <c r="E61" s="1">
        <f>SS偏向统计!E61*3+SS偏向统计!H61*3</f>
        <v>0</v>
      </c>
      <c r="F61" s="1">
        <f>SS偏向统计!F61*3+SS偏向统计!H61*2</f>
        <v>6</v>
      </c>
      <c r="G61" s="1">
        <f>SS偏向统计!E61*2</f>
        <v>0</v>
      </c>
      <c r="H61" s="1">
        <f>SS偏向统计!G61*2</f>
        <v>4</v>
      </c>
      <c r="I61" s="1">
        <f>SS偏向统计!G61*3</f>
        <v>6</v>
      </c>
      <c r="J61" s="1">
        <f>SS偏向统计!F61*2</f>
        <v>4</v>
      </c>
    </row>
    <row r="62" spans="1:10" ht="23.25">
      <c r="A62" s="1">
        <v>44000062</v>
      </c>
      <c r="B62" s="1" t="s">
        <v>72</v>
      </c>
      <c r="C62" s="26" t="s">
        <v>127</v>
      </c>
      <c r="D62" s="26"/>
      <c r="E62" s="1">
        <f>SS偏向统计!E62*3+SS偏向统计!H62*3</f>
        <v>6</v>
      </c>
      <c r="F62" s="1">
        <f>SS偏向统计!F62*3+SS偏向统计!H62*2</f>
        <v>0</v>
      </c>
      <c r="G62" s="1">
        <f>SS偏向统计!E62*2</f>
        <v>4</v>
      </c>
      <c r="H62" s="1">
        <f>SS偏向统计!G62*2</f>
        <v>0</v>
      </c>
      <c r="I62" s="1">
        <f>SS偏向统计!G62*3</f>
        <v>0</v>
      </c>
      <c r="J62" s="1">
        <f>SS偏向统计!F62*2</f>
        <v>0</v>
      </c>
    </row>
    <row r="63" spans="1:10" ht="23.25">
      <c r="A63" s="1">
        <v>44000063</v>
      </c>
      <c r="B63" s="1" t="s">
        <v>73</v>
      </c>
      <c r="C63" s="26" t="s">
        <v>128</v>
      </c>
      <c r="D63" s="26"/>
      <c r="E63" s="1">
        <f>SS偏向统计!E63*3+SS偏向统计!H63*3</f>
        <v>3</v>
      </c>
      <c r="F63" s="1">
        <f>SS偏向统计!F63*3+SS偏向统计!H63*2</f>
        <v>3</v>
      </c>
      <c r="G63" s="1">
        <f>SS偏向统计!E63*2</f>
        <v>2</v>
      </c>
      <c r="H63" s="1">
        <f>SS偏向统计!G63*2</f>
        <v>0</v>
      </c>
      <c r="I63" s="1">
        <f>SS偏向统计!G63*3</f>
        <v>0</v>
      </c>
      <c r="J63" s="1">
        <f>SS偏向统计!F63*2</f>
        <v>2</v>
      </c>
    </row>
    <row r="64" spans="1:10" ht="23.25">
      <c r="A64" s="1">
        <v>44000064</v>
      </c>
      <c r="B64" s="1" t="s">
        <v>74</v>
      </c>
      <c r="C64" s="26" t="s">
        <v>129</v>
      </c>
      <c r="D64" s="26"/>
      <c r="E64" s="1">
        <f>SS偏向统计!E64*3+SS偏向统计!H64*3</f>
        <v>0</v>
      </c>
      <c r="F64" s="1">
        <f>SS偏向统计!F64*3+SS偏向统计!H64*2</f>
        <v>0</v>
      </c>
      <c r="G64" s="1">
        <f>SS偏向统计!E64*2</f>
        <v>0</v>
      </c>
      <c r="H64" s="1">
        <f>SS偏向统计!G64*2</f>
        <v>2</v>
      </c>
      <c r="I64" s="1">
        <f>SS偏向统计!G64*3</f>
        <v>3</v>
      </c>
      <c r="J64" s="1">
        <f>SS偏向统计!F64*2</f>
        <v>0</v>
      </c>
    </row>
    <row r="65" spans="1:10" ht="23.25">
      <c r="A65" s="1">
        <v>44000065</v>
      </c>
      <c r="B65" s="1" t="s">
        <v>75</v>
      </c>
      <c r="C65" s="26" t="s">
        <v>130</v>
      </c>
      <c r="D65" s="26"/>
      <c r="E65" s="1">
        <f>SS偏向统计!E65*3+SS偏向统计!H65*3</f>
        <v>0</v>
      </c>
      <c r="F65" s="1">
        <f>SS偏向统计!F65*3+SS偏向统计!H65*2</f>
        <v>0</v>
      </c>
      <c r="G65" s="1">
        <f>SS偏向统计!E65*2</f>
        <v>0</v>
      </c>
      <c r="H65" s="1">
        <f>SS偏向统计!G65*2</f>
        <v>0</v>
      </c>
      <c r="I65" s="1">
        <f>SS偏向统计!G65*3</f>
        <v>0</v>
      </c>
      <c r="J65" s="1">
        <f>SS偏向统计!F65*2</f>
        <v>0</v>
      </c>
    </row>
    <row r="66" spans="1:10" ht="23.25">
      <c r="A66" s="1">
        <v>44000066</v>
      </c>
      <c r="B66" s="1" t="s">
        <v>76</v>
      </c>
      <c r="C66" s="26" t="s">
        <v>131</v>
      </c>
      <c r="D66" s="26"/>
      <c r="E66" s="1">
        <f>SS偏向统计!E66*3+SS偏向统计!H66*3</f>
        <v>0</v>
      </c>
      <c r="F66" s="1">
        <f>SS偏向统计!F66*3+SS偏向统计!H66*2</f>
        <v>0</v>
      </c>
      <c r="G66" s="1">
        <f>SS偏向统计!E66*2</f>
        <v>0</v>
      </c>
      <c r="H66" s="1">
        <f>SS偏向统计!G66*2</f>
        <v>2</v>
      </c>
      <c r="I66" s="1">
        <f>SS偏向统计!G66*3</f>
        <v>3</v>
      </c>
      <c r="J66" s="1">
        <f>SS偏向统计!F66*2</f>
        <v>0</v>
      </c>
    </row>
    <row r="67" spans="1:10" ht="23.25">
      <c r="A67" s="1">
        <v>44000067</v>
      </c>
      <c r="B67" s="1" t="s">
        <v>77</v>
      </c>
      <c r="C67" s="26" t="s">
        <v>132</v>
      </c>
      <c r="D67" s="26"/>
      <c r="E67" s="1">
        <f>SS偏向统计!E67*3+SS偏向统计!H67*3</f>
        <v>0</v>
      </c>
      <c r="F67" s="1">
        <f>SS偏向统计!F67*3+SS偏向统计!H67*2</f>
        <v>0</v>
      </c>
      <c r="G67" s="1">
        <f>SS偏向统计!E67*2</f>
        <v>0</v>
      </c>
      <c r="H67" s="1">
        <f>SS偏向统计!G67*2</f>
        <v>0</v>
      </c>
      <c r="I67" s="1">
        <f>SS偏向统计!G67*3</f>
        <v>0</v>
      </c>
      <c r="J67" s="1">
        <f>SS偏向统计!F67*2</f>
        <v>0</v>
      </c>
    </row>
    <row r="68" spans="1:10" ht="23.25">
      <c r="A68" s="1">
        <v>44000068</v>
      </c>
      <c r="B68" s="1" t="s">
        <v>78</v>
      </c>
      <c r="C68" s="26" t="s">
        <v>133</v>
      </c>
      <c r="D68" s="26"/>
      <c r="E68" s="1">
        <f>SS偏向统计!E68*3+SS偏向统计!H68*3</f>
        <v>3</v>
      </c>
      <c r="F68" s="1">
        <f>SS偏向统计!F68*3+SS偏向统计!H68*2</f>
        <v>0</v>
      </c>
      <c r="G68" s="1">
        <f>SS偏向统计!E68*2</f>
        <v>2</v>
      </c>
      <c r="H68" s="1">
        <f>SS偏向统计!G68*2</f>
        <v>0</v>
      </c>
      <c r="I68" s="1">
        <f>SS偏向统计!G68*3</f>
        <v>0</v>
      </c>
      <c r="J68" s="1">
        <f>SS偏向统计!F68*2</f>
        <v>0</v>
      </c>
    </row>
    <row r="69" spans="1:10">
      <c r="A69" s="58">
        <v>44000069</v>
      </c>
      <c r="B69" s="58" t="s">
        <v>314</v>
      </c>
      <c r="C69" s="59" t="s">
        <v>316</v>
      </c>
      <c r="D69" s="59"/>
      <c r="E69" s="1">
        <f>SS偏向统计!E69*3+SS偏向统计!H69*3</f>
        <v>0</v>
      </c>
      <c r="F69" s="1">
        <f>SS偏向统计!F69*3+SS偏向统计!H69*2</f>
        <v>0</v>
      </c>
      <c r="G69" s="1">
        <f>SS偏向统计!E69*2</f>
        <v>0</v>
      </c>
      <c r="H69" s="1">
        <f>SS偏向统计!G69*2</f>
        <v>2</v>
      </c>
      <c r="I69" s="1">
        <f>SS偏向统计!G69*3</f>
        <v>3</v>
      </c>
      <c r="J69" s="1">
        <f>SS偏向统计!F69*2</f>
        <v>0</v>
      </c>
    </row>
    <row r="70" spans="1:10">
      <c r="A70" s="58">
        <v>44000070</v>
      </c>
      <c r="B70" s="58" t="s">
        <v>317</v>
      </c>
      <c r="C70" s="59" t="s">
        <v>319</v>
      </c>
      <c r="D70" s="59"/>
      <c r="E70" s="1">
        <f>SS偏向统计!E70*3+SS偏向统计!H70*3</f>
        <v>0</v>
      </c>
      <c r="F70" s="1">
        <f>SS偏向统计!F70*3+SS偏向统计!H70*2</f>
        <v>3</v>
      </c>
      <c r="G70" s="1">
        <f>SS偏向统计!E70*2</f>
        <v>0</v>
      </c>
      <c r="H70" s="1">
        <f>SS偏向统计!G70*2</f>
        <v>0</v>
      </c>
      <c r="I70" s="1">
        <f>SS偏向统计!G70*3</f>
        <v>0</v>
      </c>
      <c r="J70" s="1">
        <f>SS偏向统计!F70*2</f>
        <v>2</v>
      </c>
    </row>
    <row r="71" spans="1:10">
      <c r="A71" s="58">
        <v>44000071</v>
      </c>
      <c r="B71" s="58" t="s">
        <v>320</v>
      </c>
      <c r="C71" s="59" t="s">
        <v>322</v>
      </c>
      <c r="D71" s="59"/>
      <c r="E71" s="1">
        <f>SS偏向统计!E71*3+SS偏向统计!H71*3</f>
        <v>3</v>
      </c>
      <c r="F71" s="1">
        <f>SS偏向统计!F71*3+SS偏向统计!H71*2</f>
        <v>0</v>
      </c>
      <c r="G71" s="1">
        <f>SS偏向统计!E71*2</f>
        <v>2</v>
      </c>
      <c r="H71" s="1">
        <f>SS偏向统计!G71*2</f>
        <v>0</v>
      </c>
      <c r="I71" s="1">
        <f>SS偏向统计!G71*3</f>
        <v>0</v>
      </c>
      <c r="J71" s="1">
        <f>SS偏向统计!F71*2</f>
        <v>0</v>
      </c>
    </row>
    <row r="72" spans="1:10">
      <c r="C72" s="26"/>
      <c r="D72" s="26"/>
    </row>
    <row r="73" spans="1:10">
      <c r="C73" s="26"/>
      <c r="D73" s="26"/>
    </row>
    <row r="74" spans="1:10">
      <c r="C74" s="26"/>
      <c r="D74" s="26"/>
    </row>
    <row r="75" spans="1:10">
      <c r="C75" s="26"/>
      <c r="D75" s="26"/>
    </row>
    <row r="76" spans="1:10">
      <c r="C76" s="26"/>
      <c r="D76" s="26"/>
    </row>
    <row r="77" spans="1:10">
      <c r="C77" s="26"/>
      <c r="D77" s="26"/>
    </row>
    <row r="78" spans="1:10">
      <c r="C78" s="26"/>
      <c r="D78" s="26"/>
    </row>
    <row r="79" spans="1:10">
      <c r="C79" s="26"/>
      <c r="D79" s="26"/>
    </row>
    <row r="80" spans="1:10">
      <c r="C80" s="26"/>
      <c r="D80" s="26"/>
    </row>
    <row r="81" spans="3:4">
      <c r="C81" s="26"/>
      <c r="D81" s="26"/>
    </row>
    <row r="82" spans="3:4">
      <c r="C82" s="26"/>
      <c r="D82" s="26"/>
    </row>
    <row r="83" spans="3:4">
      <c r="C83" s="26"/>
      <c r="D83" s="26"/>
    </row>
    <row r="84" spans="3:4">
      <c r="C84" s="26"/>
      <c r="D84" s="26"/>
    </row>
    <row r="85" spans="3:4">
      <c r="C85" s="26"/>
      <c r="D85" s="26"/>
    </row>
    <row r="86" spans="3:4">
      <c r="C86" s="26"/>
      <c r="D86" s="26"/>
    </row>
    <row r="87" spans="3:4">
      <c r="C87" s="26"/>
      <c r="D87" s="26"/>
    </row>
    <row r="88" spans="3:4">
      <c r="C88" s="26"/>
      <c r="D88" s="26"/>
    </row>
    <row r="89" spans="3:4">
      <c r="C89" s="26"/>
      <c r="D89" s="26"/>
    </row>
    <row r="90" spans="3:4">
      <c r="C90" s="26"/>
      <c r="D90" s="26"/>
    </row>
    <row r="91" spans="3:4">
      <c r="C91" s="26"/>
      <c r="D91" s="26"/>
    </row>
    <row r="92" spans="3:4">
      <c r="C92" s="26"/>
      <c r="D92" s="26"/>
    </row>
    <row r="93" spans="3:4">
      <c r="C93" s="26"/>
      <c r="D93" s="26"/>
    </row>
    <row r="94" spans="3:4">
      <c r="C94" s="26"/>
      <c r="D94" s="26"/>
    </row>
    <row r="95" spans="3:4">
      <c r="C95" s="26"/>
      <c r="D95" s="26"/>
    </row>
    <row r="96" spans="3:4">
      <c r="C96" s="26"/>
      <c r="D96" s="26"/>
    </row>
    <row r="97" spans="3:4">
      <c r="C97" s="26"/>
      <c r="D97" s="26"/>
    </row>
    <row r="98" spans="3:4">
      <c r="C98" s="26"/>
      <c r="D98" s="26"/>
    </row>
    <row r="99" spans="3:4">
      <c r="C99" s="26"/>
      <c r="D99" s="26"/>
    </row>
    <row r="100" spans="3:4">
      <c r="C100" s="26"/>
      <c r="D100" s="26"/>
    </row>
    <row r="101" spans="3:4">
      <c r="C101" s="26"/>
      <c r="D101" s="26"/>
    </row>
    <row r="102" spans="3:4">
      <c r="C102" s="26"/>
      <c r="D102" s="26"/>
    </row>
    <row r="103" spans="3:4">
      <c r="C103" s="26"/>
      <c r="D103" s="26"/>
    </row>
    <row r="104" spans="3:4">
      <c r="C104" s="26"/>
      <c r="D104" s="26"/>
    </row>
    <row r="105" spans="3:4">
      <c r="C105" s="26"/>
      <c r="D105" s="26"/>
    </row>
    <row r="106" spans="3:4">
      <c r="C106" s="26"/>
      <c r="D106" s="26"/>
    </row>
    <row r="107" spans="3:4">
      <c r="C107" s="26"/>
      <c r="D107" s="26"/>
    </row>
    <row r="108" spans="3:4">
      <c r="C108" s="26"/>
      <c r="D108" s="26"/>
    </row>
    <row r="109" spans="3:4">
      <c r="C109" s="26"/>
      <c r="D109" s="26"/>
    </row>
    <row r="110" spans="3:4">
      <c r="C110" s="26"/>
      <c r="D110" s="26"/>
    </row>
    <row r="111" spans="3:4">
      <c r="C111" s="26"/>
      <c r="D111" s="26"/>
    </row>
    <row r="112" spans="3:4">
      <c r="C112" s="26"/>
      <c r="D112" s="26"/>
    </row>
    <row r="113" spans="3:4">
      <c r="C113" s="26"/>
      <c r="D113" s="26"/>
    </row>
    <row r="114" spans="3:4">
      <c r="C114" s="26"/>
      <c r="D114" s="26"/>
    </row>
    <row r="115" spans="3:4">
      <c r="C115" s="26"/>
      <c r="D115" s="26"/>
    </row>
  </sheetData>
  <mergeCells count="107">
    <mergeCell ref="C7:D7"/>
    <mergeCell ref="C8:D8"/>
    <mergeCell ref="C9:D9"/>
    <mergeCell ref="C10:D10"/>
    <mergeCell ref="C11:D11"/>
    <mergeCell ref="C12:D12"/>
    <mergeCell ref="C1:D1"/>
    <mergeCell ref="C2:D2"/>
    <mergeCell ref="C3:D3"/>
    <mergeCell ref="C4:D4"/>
    <mergeCell ref="C5:D5"/>
    <mergeCell ref="C6:D6"/>
    <mergeCell ref="C20:D20"/>
    <mergeCell ref="C21:D21"/>
    <mergeCell ref="C22:D22"/>
    <mergeCell ref="C23:D23"/>
    <mergeCell ref="C24:D24"/>
    <mergeCell ref="C25:D25"/>
    <mergeCell ref="C13:D13"/>
    <mergeCell ref="C15:D15"/>
    <mergeCell ref="C16:D16"/>
    <mergeCell ref="C17:D17"/>
    <mergeCell ref="C18:D18"/>
    <mergeCell ref="C19:D19"/>
    <mergeCell ref="C39:D39"/>
    <mergeCell ref="C40:D40"/>
    <mergeCell ref="C41:D41"/>
    <mergeCell ref="C42:D42"/>
    <mergeCell ref="C43:D43"/>
    <mergeCell ref="C44:D44"/>
    <mergeCell ref="C26:D26"/>
    <mergeCell ref="C34:D34"/>
    <mergeCell ref="C35:D35"/>
    <mergeCell ref="C36:D36"/>
    <mergeCell ref="C37:D37"/>
    <mergeCell ref="C38:D38"/>
    <mergeCell ref="C51:D51"/>
    <mergeCell ref="C52:D52"/>
    <mergeCell ref="C53:D53"/>
    <mergeCell ref="C54:D54"/>
    <mergeCell ref="C55:D55"/>
    <mergeCell ref="C56:D56"/>
    <mergeCell ref="C45:D45"/>
    <mergeCell ref="C46:D46"/>
    <mergeCell ref="C47:D47"/>
    <mergeCell ref="C48:D48"/>
    <mergeCell ref="C49:D49"/>
    <mergeCell ref="C50:D50"/>
    <mergeCell ref="C69:D69"/>
    <mergeCell ref="C63:D63"/>
    <mergeCell ref="C64:D64"/>
    <mergeCell ref="C65:D65"/>
    <mergeCell ref="C66:D66"/>
    <mergeCell ref="C67:D67"/>
    <mergeCell ref="C68:D68"/>
    <mergeCell ref="C57:D57"/>
    <mergeCell ref="C58:D58"/>
    <mergeCell ref="C59:D59"/>
    <mergeCell ref="C60:D60"/>
    <mergeCell ref="C61:D61"/>
    <mergeCell ref="C62:D62"/>
    <mergeCell ref="C75:D75"/>
    <mergeCell ref="C76:D76"/>
    <mergeCell ref="C77:D77"/>
    <mergeCell ref="C78:D78"/>
    <mergeCell ref="C79:D79"/>
    <mergeCell ref="C80:D80"/>
    <mergeCell ref="C70:D70"/>
    <mergeCell ref="C71:D71"/>
    <mergeCell ref="C72:D72"/>
    <mergeCell ref="C73:D73"/>
    <mergeCell ref="C74:D74"/>
    <mergeCell ref="C87:D87"/>
    <mergeCell ref="C88:D88"/>
    <mergeCell ref="C89:D89"/>
    <mergeCell ref="C90:D90"/>
    <mergeCell ref="C91:D91"/>
    <mergeCell ref="C92:D92"/>
    <mergeCell ref="C81:D81"/>
    <mergeCell ref="C82:D82"/>
    <mergeCell ref="C83:D83"/>
    <mergeCell ref="C84:D84"/>
    <mergeCell ref="C85:D85"/>
    <mergeCell ref="C86:D86"/>
    <mergeCell ref="C99:D99"/>
    <mergeCell ref="C100:D100"/>
    <mergeCell ref="C101:D101"/>
    <mergeCell ref="C102:D102"/>
    <mergeCell ref="C103:D103"/>
    <mergeCell ref="C104:D104"/>
    <mergeCell ref="C93:D93"/>
    <mergeCell ref="C94:D94"/>
    <mergeCell ref="C95:D95"/>
    <mergeCell ref="C96:D96"/>
    <mergeCell ref="C97:D97"/>
    <mergeCell ref="C98:D98"/>
    <mergeCell ref="C111:D111"/>
    <mergeCell ref="C112:D112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6E9EF-C38B-4DD9-8FD5-A67BB2F21FB3}">
  <dimension ref="A1:Q169"/>
  <sheetViews>
    <sheetView topLeftCell="D1" zoomScale="85" zoomScaleNormal="85" workbookViewId="0">
      <pane ySplit="1" topLeftCell="A59" activePane="bottomLeft" state="frozen"/>
      <selection pane="bottomLeft" sqref="A1:A1048576"/>
    </sheetView>
  </sheetViews>
  <sheetFormatPr defaultRowHeight="22.9"/>
  <cols>
    <col min="1" max="1" width="9.0390625" style="1" customWidth="1"/>
    <col min="2" max="2" width="5.5390625" style="1" customWidth="1"/>
    <col min="3" max="4" width="8.5390625" style="1" customWidth="1"/>
    <col min="5" max="6" width="8.5390625" style="10" customWidth="1"/>
    <col min="7" max="8" width="8.5390625" style="1" customWidth="1"/>
    <col min="9" max="10" width="8.5390625" style="10" customWidth="1"/>
    <col min="11" max="12" width="8.5390625" style="1" customWidth="1"/>
    <col min="13" max="14" width="8.5390625" style="10" customWidth="1"/>
    <col min="15" max="16" width="8.5390625" style="1" customWidth="1"/>
    <col min="17" max="16384" width="8.6640625" style="1"/>
  </cols>
  <sheetData>
    <row r="1" spans="1:17" ht="23.25" customHeight="1">
      <c r="A1" s="1" t="s">
        <v>0</v>
      </c>
      <c r="B1" s="1" t="s">
        <v>1</v>
      </c>
      <c r="C1" s="26" t="s">
        <v>161</v>
      </c>
      <c r="D1" s="26"/>
      <c r="E1" s="8" t="s">
        <v>162</v>
      </c>
      <c r="F1" s="8" t="s">
        <v>163</v>
      </c>
      <c r="G1" s="9" t="s">
        <v>164</v>
      </c>
      <c r="H1" s="9" t="s">
        <v>165</v>
      </c>
      <c r="I1" s="8" t="s">
        <v>170</v>
      </c>
      <c r="J1" s="8" t="s">
        <v>171</v>
      </c>
      <c r="K1" s="9" t="s">
        <v>172</v>
      </c>
      <c r="L1" s="9" t="s">
        <v>173</v>
      </c>
      <c r="M1" s="8" t="s">
        <v>166</v>
      </c>
      <c r="N1" s="8" t="s">
        <v>167</v>
      </c>
      <c r="O1" s="9" t="s">
        <v>168</v>
      </c>
      <c r="P1" s="9" t="s">
        <v>169</v>
      </c>
      <c r="Q1" s="9"/>
    </row>
    <row r="2" spans="1:17" ht="23.25">
      <c r="A2" s="1">
        <v>44000002</v>
      </c>
      <c r="B2" s="1" t="s">
        <v>2</v>
      </c>
      <c r="C2" s="26" t="s">
        <v>174</v>
      </c>
      <c r="D2" s="26"/>
      <c r="E2" s="10">
        <v>8</v>
      </c>
      <c r="F2" s="10">
        <v>212</v>
      </c>
      <c r="G2" s="1">
        <v>8</v>
      </c>
      <c r="H2" s="1">
        <v>210</v>
      </c>
      <c r="I2" s="10">
        <v>8</v>
      </c>
      <c r="J2" s="10">
        <v>211</v>
      </c>
      <c r="K2" s="1">
        <v>9</v>
      </c>
      <c r="L2" s="1">
        <v>214</v>
      </c>
      <c r="M2" s="10">
        <v>7</v>
      </c>
      <c r="N2" s="10">
        <v>206</v>
      </c>
      <c r="O2" s="1">
        <v>7</v>
      </c>
      <c r="P2" s="1">
        <v>207</v>
      </c>
    </row>
    <row r="3" spans="1:17" ht="23.25">
      <c r="A3" s="1">
        <v>44000003</v>
      </c>
      <c r="B3" s="1" t="s">
        <v>3</v>
      </c>
      <c r="C3" s="26" t="s">
        <v>175</v>
      </c>
      <c r="D3" s="26"/>
      <c r="E3" s="10">
        <v>8</v>
      </c>
      <c r="F3" s="10">
        <v>208</v>
      </c>
      <c r="G3" s="1">
        <v>9</v>
      </c>
      <c r="H3" s="1">
        <v>214</v>
      </c>
      <c r="I3" s="10">
        <v>7</v>
      </c>
      <c r="J3" s="10">
        <v>207</v>
      </c>
      <c r="K3" s="1">
        <v>9</v>
      </c>
      <c r="L3" s="1">
        <v>213</v>
      </c>
      <c r="M3" s="10">
        <v>8</v>
      </c>
      <c r="N3" s="10">
        <v>212</v>
      </c>
      <c r="O3" s="1">
        <v>7</v>
      </c>
      <c r="P3" s="1">
        <v>206</v>
      </c>
    </row>
    <row r="4" spans="1:17" ht="23.25">
      <c r="A4" s="1">
        <v>44000004</v>
      </c>
      <c r="B4" s="1" t="s">
        <v>4</v>
      </c>
      <c r="C4" s="26" t="s">
        <v>176</v>
      </c>
      <c r="D4" s="26"/>
      <c r="E4" s="10">
        <v>8</v>
      </c>
      <c r="F4" s="10">
        <v>209</v>
      </c>
      <c r="G4" s="1">
        <v>8</v>
      </c>
      <c r="H4" s="1">
        <v>211</v>
      </c>
      <c r="I4" s="10">
        <v>8</v>
      </c>
      <c r="J4" s="10">
        <v>209</v>
      </c>
      <c r="K4" s="1">
        <v>7</v>
      </c>
      <c r="L4" s="1">
        <v>207</v>
      </c>
      <c r="M4" s="10">
        <v>9</v>
      </c>
      <c r="N4" s="10">
        <v>213</v>
      </c>
      <c r="O4" s="1">
        <v>8</v>
      </c>
      <c r="P4" s="1">
        <v>211</v>
      </c>
    </row>
    <row r="5" spans="1:17" ht="23.25">
      <c r="A5" s="1">
        <v>44000005</v>
      </c>
      <c r="B5" s="1" t="s">
        <v>5</v>
      </c>
      <c r="C5" s="26" t="s">
        <v>177</v>
      </c>
      <c r="D5" s="26"/>
      <c r="E5" s="10">
        <v>9</v>
      </c>
      <c r="F5" s="10">
        <v>213</v>
      </c>
      <c r="G5" s="1">
        <v>8</v>
      </c>
      <c r="H5" s="1">
        <v>211</v>
      </c>
      <c r="I5" s="10">
        <v>7</v>
      </c>
      <c r="J5" s="10">
        <v>207</v>
      </c>
      <c r="K5" s="1">
        <v>7</v>
      </c>
      <c r="L5" s="1">
        <v>207</v>
      </c>
      <c r="M5" s="10">
        <v>7</v>
      </c>
      <c r="N5" s="10">
        <v>207</v>
      </c>
      <c r="O5" s="1">
        <v>9</v>
      </c>
      <c r="P5" s="1">
        <v>215</v>
      </c>
    </row>
    <row r="6" spans="1:17" ht="23.25">
      <c r="A6" s="1">
        <v>44000006</v>
      </c>
      <c r="B6" s="1" t="s">
        <v>6</v>
      </c>
      <c r="C6" s="26" t="s">
        <v>178</v>
      </c>
      <c r="D6" s="26"/>
      <c r="E6" s="10">
        <v>9</v>
      </c>
      <c r="F6" s="10">
        <v>213</v>
      </c>
      <c r="G6" s="1">
        <v>8</v>
      </c>
      <c r="H6" s="1">
        <v>211</v>
      </c>
      <c r="I6" s="10">
        <v>7</v>
      </c>
      <c r="J6" s="10">
        <v>207</v>
      </c>
      <c r="K6" s="1">
        <v>7</v>
      </c>
      <c r="L6" s="1">
        <v>207</v>
      </c>
      <c r="M6" s="10">
        <v>7</v>
      </c>
      <c r="N6" s="10">
        <v>207</v>
      </c>
      <c r="O6" s="1">
        <v>9</v>
      </c>
      <c r="P6" s="1">
        <v>215</v>
      </c>
    </row>
    <row r="7" spans="1:17" ht="23.25">
      <c r="A7" s="1">
        <v>44000007</v>
      </c>
      <c r="B7" s="1" t="s">
        <v>7</v>
      </c>
      <c r="C7" s="47" t="s">
        <v>179</v>
      </c>
      <c r="D7" s="26"/>
      <c r="E7" s="10">
        <v>8</v>
      </c>
      <c r="F7" s="10">
        <v>209</v>
      </c>
      <c r="G7" s="1">
        <v>8</v>
      </c>
      <c r="H7" s="1">
        <v>208</v>
      </c>
      <c r="I7" s="10">
        <v>8</v>
      </c>
      <c r="J7" s="10">
        <v>209</v>
      </c>
      <c r="K7" s="1">
        <v>8</v>
      </c>
      <c r="L7" s="1">
        <v>211</v>
      </c>
      <c r="M7" s="10">
        <v>9</v>
      </c>
      <c r="N7" s="10">
        <v>214</v>
      </c>
      <c r="O7" s="1">
        <v>8</v>
      </c>
      <c r="P7" s="1">
        <v>209</v>
      </c>
    </row>
    <row r="8" spans="1:17" ht="23.25">
      <c r="A8" s="1">
        <v>44000008</v>
      </c>
      <c r="B8" s="1" t="s">
        <v>8</v>
      </c>
      <c r="C8" s="47" t="s">
        <v>180</v>
      </c>
      <c r="D8" s="26"/>
      <c r="E8" s="10">
        <v>8</v>
      </c>
      <c r="F8" s="10">
        <v>210</v>
      </c>
      <c r="G8" s="1">
        <v>7</v>
      </c>
      <c r="H8" s="1">
        <v>207</v>
      </c>
      <c r="I8" s="10">
        <v>7</v>
      </c>
      <c r="J8" s="10">
        <v>206</v>
      </c>
      <c r="K8" s="1">
        <v>8</v>
      </c>
      <c r="L8" s="1">
        <v>211</v>
      </c>
      <c r="M8" s="10">
        <v>8</v>
      </c>
      <c r="N8" s="10">
        <v>212</v>
      </c>
      <c r="O8" s="1">
        <v>9</v>
      </c>
      <c r="P8" s="1">
        <v>214</v>
      </c>
    </row>
    <row r="9" spans="1:17" ht="23.25">
      <c r="A9" s="11">
        <v>44000009</v>
      </c>
      <c r="B9" s="11" t="s">
        <v>9</v>
      </c>
      <c r="C9" s="50" t="s">
        <v>181</v>
      </c>
      <c r="D9" s="48"/>
      <c r="E9" s="10">
        <v>8</v>
      </c>
      <c r="F9" s="10">
        <v>210</v>
      </c>
      <c r="G9" s="1">
        <v>8</v>
      </c>
      <c r="H9" s="1">
        <v>208</v>
      </c>
      <c r="I9" s="10">
        <v>9</v>
      </c>
      <c r="J9" s="10">
        <v>215</v>
      </c>
      <c r="K9" s="1">
        <v>8</v>
      </c>
      <c r="L9" s="1">
        <v>212</v>
      </c>
      <c r="M9" s="10">
        <v>8</v>
      </c>
      <c r="N9" s="10">
        <v>208</v>
      </c>
      <c r="O9" s="1">
        <v>7</v>
      </c>
      <c r="P9" s="1">
        <v>207</v>
      </c>
    </row>
    <row r="10" spans="1:17" ht="23.25">
      <c r="A10" s="11">
        <v>44000010</v>
      </c>
      <c r="B10" s="11" t="s">
        <v>10</v>
      </c>
      <c r="C10" s="50" t="s">
        <v>182</v>
      </c>
      <c r="D10" s="48"/>
      <c r="E10" s="10">
        <v>8</v>
      </c>
      <c r="F10" s="10">
        <v>211</v>
      </c>
      <c r="G10" s="1">
        <v>9</v>
      </c>
      <c r="H10" s="1">
        <v>213</v>
      </c>
      <c r="I10" s="10">
        <v>7</v>
      </c>
      <c r="J10" s="10">
        <v>207</v>
      </c>
      <c r="K10" s="1">
        <v>8</v>
      </c>
      <c r="L10" s="1">
        <v>211</v>
      </c>
      <c r="M10" s="10">
        <v>7</v>
      </c>
      <c r="N10" s="10">
        <v>207</v>
      </c>
      <c r="O10" s="1">
        <v>8</v>
      </c>
      <c r="P10" s="1">
        <v>211</v>
      </c>
    </row>
    <row r="11" spans="1:17" ht="23.25">
      <c r="A11" s="11">
        <v>44000011</v>
      </c>
      <c r="B11" s="11" t="s">
        <v>11</v>
      </c>
      <c r="C11" s="50" t="s">
        <v>183</v>
      </c>
      <c r="D11" s="48"/>
      <c r="E11" s="10">
        <v>8</v>
      </c>
      <c r="F11" s="10">
        <v>212</v>
      </c>
      <c r="G11" s="1">
        <v>8</v>
      </c>
      <c r="H11" s="1">
        <v>212</v>
      </c>
      <c r="I11" s="10">
        <v>8</v>
      </c>
      <c r="J11" s="10">
        <v>208</v>
      </c>
      <c r="K11" s="1">
        <v>8</v>
      </c>
      <c r="L11" s="1">
        <v>210</v>
      </c>
      <c r="M11" s="10">
        <v>8</v>
      </c>
      <c r="N11" s="10">
        <v>208</v>
      </c>
      <c r="O11" s="1">
        <v>8</v>
      </c>
      <c r="P11" s="1">
        <v>210</v>
      </c>
    </row>
    <row r="12" spans="1:17" ht="23.25">
      <c r="A12" s="11">
        <v>44000012</v>
      </c>
      <c r="B12" s="11" t="s">
        <v>12</v>
      </c>
      <c r="C12" s="50" t="s">
        <v>184</v>
      </c>
      <c r="D12" s="48"/>
      <c r="E12" s="10">
        <v>8</v>
      </c>
      <c r="F12" s="10">
        <v>208</v>
      </c>
      <c r="G12" s="1">
        <v>8</v>
      </c>
      <c r="H12" s="1">
        <v>211</v>
      </c>
      <c r="I12" s="10">
        <v>7</v>
      </c>
      <c r="J12" s="10">
        <v>207</v>
      </c>
      <c r="K12" s="1">
        <v>8</v>
      </c>
      <c r="L12" s="1">
        <v>210</v>
      </c>
      <c r="M12" s="10">
        <v>8</v>
      </c>
      <c r="N12" s="10">
        <v>212</v>
      </c>
      <c r="O12" s="1">
        <v>8</v>
      </c>
      <c r="P12" s="1">
        <v>212</v>
      </c>
    </row>
    <row r="13" spans="1:17" ht="23.25">
      <c r="A13" s="11">
        <v>44000013</v>
      </c>
      <c r="B13" s="11" t="s">
        <v>13</v>
      </c>
      <c r="C13" s="50" t="s">
        <v>185</v>
      </c>
      <c r="D13" s="48"/>
      <c r="E13" s="10">
        <v>8</v>
      </c>
      <c r="F13" s="10">
        <v>209</v>
      </c>
      <c r="G13" s="1">
        <v>8</v>
      </c>
      <c r="H13" s="1">
        <v>209</v>
      </c>
      <c r="I13" s="10">
        <v>7</v>
      </c>
      <c r="J13" s="10">
        <v>206</v>
      </c>
      <c r="K13" s="1">
        <v>8</v>
      </c>
      <c r="L13" s="1">
        <v>211</v>
      </c>
      <c r="M13" s="10">
        <v>9</v>
      </c>
      <c r="N13" s="10">
        <v>213</v>
      </c>
      <c r="O13" s="1">
        <v>8</v>
      </c>
      <c r="P13" s="1">
        <v>212</v>
      </c>
    </row>
    <row r="14" spans="1:17">
      <c r="C14" s="5"/>
      <c r="E14" s="1"/>
      <c r="F14" s="1"/>
      <c r="I14" s="1"/>
      <c r="J14" s="1"/>
      <c r="M14" s="1"/>
      <c r="N14" s="1"/>
    </row>
    <row r="15" spans="1:17" ht="23.25">
      <c r="A15" s="11">
        <v>44000015</v>
      </c>
      <c r="B15" s="11" t="s">
        <v>14</v>
      </c>
      <c r="C15" s="54" t="s">
        <v>186</v>
      </c>
      <c r="D15" s="48"/>
      <c r="E15" s="10">
        <v>9</v>
      </c>
      <c r="F15" s="10">
        <v>213</v>
      </c>
      <c r="G15" s="1">
        <v>7</v>
      </c>
      <c r="H15" s="1">
        <v>206</v>
      </c>
      <c r="I15" s="10">
        <v>8</v>
      </c>
      <c r="J15" s="10">
        <v>212</v>
      </c>
      <c r="K15" s="1">
        <v>8</v>
      </c>
      <c r="L15" s="1">
        <v>212</v>
      </c>
      <c r="M15" s="10">
        <v>7</v>
      </c>
      <c r="N15" s="10">
        <v>206</v>
      </c>
      <c r="O15" s="1">
        <v>8</v>
      </c>
      <c r="P15" s="1">
        <v>211</v>
      </c>
    </row>
    <row r="16" spans="1:17" ht="23.25">
      <c r="A16" s="1">
        <v>44000016</v>
      </c>
      <c r="B16" s="1" t="s">
        <v>15</v>
      </c>
      <c r="C16" s="47" t="s">
        <v>187</v>
      </c>
      <c r="D16" s="26"/>
      <c r="E16" s="10">
        <v>8</v>
      </c>
      <c r="F16" s="10">
        <v>211</v>
      </c>
      <c r="G16" s="1">
        <v>7</v>
      </c>
      <c r="H16" s="1">
        <v>207</v>
      </c>
      <c r="I16" s="10">
        <v>8</v>
      </c>
      <c r="J16" s="10">
        <v>211</v>
      </c>
      <c r="K16" s="1">
        <v>8</v>
      </c>
      <c r="L16" s="1">
        <v>210</v>
      </c>
      <c r="M16" s="10">
        <v>8</v>
      </c>
      <c r="N16" s="10">
        <v>211</v>
      </c>
      <c r="O16" s="1">
        <v>8</v>
      </c>
      <c r="P16" s="1">
        <v>210</v>
      </c>
    </row>
    <row r="17" spans="1:16" ht="23.25">
      <c r="A17" s="1">
        <v>44000017</v>
      </c>
      <c r="B17" s="1" t="s">
        <v>16</v>
      </c>
      <c r="C17" s="47" t="s">
        <v>188</v>
      </c>
      <c r="D17" s="26"/>
      <c r="E17" s="10">
        <v>8</v>
      </c>
      <c r="F17" s="10">
        <v>211</v>
      </c>
      <c r="G17" s="1">
        <v>7</v>
      </c>
      <c r="H17" s="1">
        <v>207</v>
      </c>
      <c r="I17" s="10">
        <v>8</v>
      </c>
      <c r="J17" s="10">
        <v>210</v>
      </c>
      <c r="K17" s="1">
        <v>8</v>
      </c>
      <c r="L17" s="1">
        <v>210</v>
      </c>
      <c r="M17" s="10">
        <v>8</v>
      </c>
      <c r="N17" s="10">
        <v>212</v>
      </c>
      <c r="O17" s="1">
        <v>8</v>
      </c>
      <c r="P17" s="1">
        <v>210</v>
      </c>
    </row>
    <row r="18" spans="1:16" ht="23.25">
      <c r="A18" s="1">
        <v>44000018</v>
      </c>
      <c r="B18" s="1" t="s">
        <v>17</v>
      </c>
      <c r="C18" s="47" t="s">
        <v>189</v>
      </c>
      <c r="D18" s="26"/>
      <c r="E18" s="10">
        <v>8</v>
      </c>
      <c r="F18" s="10">
        <v>210</v>
      </c>
      <c r="G18" s="1">
        <v>8</v>
      </c>
      <c r="H18" s="1">
        <v>211</v>
      </c>
      <c r="I18" s="10">
        <v>7</v>
      </c>
      <c r="J18" s="10">
        <v>206</v>
      </c>
      <c r="K18" s="1">
        <v>9</v>
      </c>
      <c r="L18" s="1">
        <v>213</v>
      </c>
      <c r="M18" s="10">
        <v>8</v>
      </c>
      <c r="N18" s="10">
        <v>211</v>
      </c>
      <c r="O18" s="1">
        <v>8</v>
      </c>
      <c r="P18" s="1">
        <v>209</v>
      </c>
    </row>
    <row r="19" spans="1:16" ht="23.25">
      <c r="A19" s="1">
        <v>44000019</v>
      </c>
      <c r="B19" s="1" t="s">
        <v>18</v>
      </c>
      <c r="C19" s="47" t="s">
        <v>190</v>
      </c>
      <c r="D19" s="26"/>
      <c r="E19" s="10">
        <v>8</v>
      </c>
      <c r="F19" s="10">
        <v>211</v>
      </c>
      <c r="G19" s="1">
        <v>8</v>
      </c>
      <c r="H19" s="1">
        <v>210</v>
      </c>
      <c r="I19" s="10">
        <v>9</v>
      </c>
      <c r="J19" s="10">
        <v>213</v>
      </c>
      <c r="K19" s="1">
        <v>8</v>
      </c>
      <c r="L19" s="1">
        <v>211</v>
      </c>
      <c r="M19" s="10">
        <v>7</v>
      </c>
      <c r="N19" s="10">
        <v>207</v>
      </c>
      <c r="O19" s="1">
        <v>8</v>
      </c>
      <c r="P19" s="1">
        <v>208</v>
      </c>
    </row>
    <row r="20" spans="1:16" ht="23.25">
      <c r="A20" s="1">
        <v>44000020</v>
      </c>
      <c r="B20" s="1" t="s">
        <v>19</v>
      </c>
      <c r="C20" s="47" t="s">
        <v>191</v>
      </c>
      <c r="D20" s="26"/>
      <c r="E20" s="10">
        <v>8</v>
      </c>
      <c r="F20" s="10">
        <v>208</v>
      </c>
      <c r="G20" s="1">
        <v>9</v>
      </c>
      <c r="H20" s="1">
        <v>213</v>
      </c>
      <c r="I20" s="10">
        <v>8</v>
      </c>
      <c r="J20" s="10">
        <v>209</v>
      </c>
      <c r="K20" s="1">
        <v>8</v>
      </c>
      <c r="L20" s="1">
        <v>211</v>
      </c>
      <c r="M20" s="10">
        <v>8</v>
      </c>
      <c r="N20" s="10">
        <v>208</v>
      </c>
      <c r="O20" s="1">
        <v>8</v>
      </c>
      <c r="P20" s="1">
        <v>211</v>
      </c>
    </row>
    <row r="21" spans="1:16" ht="23.25">
      <c r="A21" s="1">
        <v>44000021</v>
      </c>
      <c r="B21" s="1" t="s">
        <v>20</v>
      </c>
      <c r="C21" s="47" t="s">
        <v>192</v>
      </c>
      <c r="D21" s="26"/>
      <c r="E21" s="10">
        <v>8</v>
      </c>
      <c r="F21" s="10">
        <v>211</v>
      </c>
      <c r="G21" s="1">
        <v>8</v>
      </c>
      <c r="H21" s="1">
        <v>209</v>
      </c>
      <c r="I21" s="10">
        <v>8</v>
      </c>
      <c r="J21" s="10">
        <v>212</v>
      </c>
      <c r="K21" s="1">
        <v>8</v>
      </c>
      <c r="L21" s="1">
        <v>211</v>
      </c>
      <c r="M21" s="10">
        <v>8</v>
      </c>
      <c r="N21" s="10">
        <v>210</v>
      </c>
      <c r="O21" s="1">
        <v>7</v>
      </c>
      <c r="P21" s="1">
        <v>207</v>
      </c>
    </row>
    <row r="22" spans="1:16" ht="23.25">
      <c r="A22" s="11">
        <v>44000022</v>
      </c>
      <c r="B22" s="11" t="s">
        <v>21</v>
      </c>
      <c r="C22" s="50" t="s">
        <v>193</v>
      </c>
      <c r="D22" s="48"/>
      <c r="E22" s="10">
        <v>8</v>
      </c>
      <c r="F22" s="10">
        <v>211</v>
      </c>
      <c r="G22" s="1">
        <v>8</v>
      </c>
      <c r="H22" s="1">
        <v>212</v>
      </c>
      <c r="I22" s="10">
        <v>7</v>
      </c>
      <c r="J22" s="10">
        <v>207</v>
      </c>
      <c r="K22" s="1">
        <v>8</v>
      </c>
      <c r="L22" s="1">
        <v>209</v>
      </c>
      <c r="M22" s="10">
        <v>9</v>
      </c>
      <c r="N22" s="10">
        <v>213</v>
      </c>
      <c r="O22" s="1">
        <v>8</v>
      </c>
      <c r="P22" s="1">
        <v>208</v>
      </c>
    </row>
    <row r="23" spans="1:16" ht="23.25">
      <c r="A23" s="11">
        <v>44000023</v>
      </c>
      <c r="B23" s="11" t="s">
        <v>22</v>
      </c>
      <c r="C23" s="50" t="s">
        <v>194</v>
      </c>
      <c r="D23" s="48"/>
      <c r="E23" s="10">
        <v>8</v>
      </c>
      <c r="F23" s="10">
        <v>208</v>
      </c>
      <c r="G23" s="1">
        <v>8</v>
      </c>
      <c r="H23" s="1">
        <v>209</v>
      </c>
      <c r="I23" s="10">
        <v>8</v>
      </c>
      <c r="J23" s="10">
        <v>211</v>
      </c>
      <c r="K23" s="1">
        <v>8</v>
      </c>
      <c r="L23" s="1">
        <v>209</v>
      </c>
      <c r="M23" s="10">
        <v>8</v>
      </c>
      <c r="N23" s="10">
        <v>211</v>
      </c>
      <c r="O23" s="1">
        <v>8</v>
      </c>
      <c r="P23" s="1">
        <v>212</v>
      </c>
    </row>
    <row r="24" spans="1:16" ht="29.25">
      <c r="A24" s="11">
        <v>44000024</v>
      </c>
      <c r="B24" s="11" t="s">
        <v>23</v>
      </c>
      <c r="C24" s="53" t="s">
        <v>195</v>
      </c>
      <c r="D24" s="48"/>
      <c r="E24" s="10">
        <v>8</v>
      </c>
      <c r="F24" s="10">
        <v>210</v>
      </c>
      <c r="G24" s="1">
        <v>7</v>
      </c>
      <c r="H24" s="1">
        <v>207</v>
      </c>
      <c r="I24" s="10">
        <v>8</v>
      </c>
      <c r="J24" s="10">
        <v>212</v>
      </c>
      <c r="K24" s="1">
        <v>8</v>
      </c>
      <c r="L24" s="1">
        <v>212</v>
      </c>
      <c r="M24" s="10">
        <v>8</v>
      </c>
      <c r="N24" s="10">
        <v>208</v>
      </c>
      <c r="O24" s="1">
        <v>8</v>
      </c>
      <c r="P24" s="1">
        <v>211</v>
      </c>
    </row>
    <row r="25" spans="1:16" ht="23.25">
      <c r="A25" s="11">
        <v>44000025</v>
      </c>
      <c r="B25" s="11" t="s">
        <v>24</v>
      </c>
      <c r="C25" s="50" t="s">
        <v>196</v>
      </c>
      <c r="D25" s="48"/>
      <c r="E25" s="10">
        <v>8</v>
      </c>
      <c r="F25" s="10">
        <v>211</v>
      </c>
      <c r="G25" s="1">
        <v>8</v>
      </c>
      <c r="H25" s="1">
        <v>211</v>
      </c>
      <c r="I25" s="10">
        <v>8</v>
      </c>
      <c r="J25" s="10">
        <v>211</v>
      </c>
      <c r="K25" s="1">
        <v>8</v>
      </c>
      <c r="L25" s="1">
        <v>211</v>
      </c>
      <c r="M25" s="10">
        <v>8</v>
      </c>
      <c r="N25" s="10">
        <v>208</v>
      </c>
      <c r="O25" s="1">
        <v>8</v>
      </c>
      <c r="P25" s="1">
        <v>208</v>
      </c>
    </row>
    <row r="26" spans="1:16" ht="23.25">
      <c r="A26" s="11">
        <v>44000026</v>
      </c>
      <c r="B26" s="11" t="s">
        <v>25</v>
      </c>
      <c r="C26" s="50" t="s">
        <v>197</v>
      </c>
      <c r="D26" s="48"/>
      <c r="E26" s="10">
        <v>8</v>
      </c>
      <c r="F26" s="10">
        <v>208</v>
      </c>
      <c r="G26" s="1">
        <v>9</v>
      </c>
      <c r="H26" s="1">
        <v>213</v>
      </c>
      <c r="I26" s="10">
        <v>8</v>
      </c>
      <c r="J26" s="10">
        <v>208</v>
      </c>
      <c r="K26" s="1">
        <v>8</v>
      </c>
      <c r="L26" s="1">
        <v>208</v>
      </c>
      <c r="M26" s="10">
        <v>8</v>
      </c>
      <c r="N26" s="10">
        <v>212</v>
      </c>
      <c r="O26" s="1">
        <v>8</v>
      </c>
      <c r="P26" s="1">
        <v>211</v>
      </c>
    </row>
    <row r="27" spans="1:16">
      <c r="C27" s="5"/>
      <c r="E27" s="1"/>
      <c r="F27" s="1"/>
      <c r="I27" s="1"/>
      <c r="J27" s="1"/>
      <c r="M27" s="1"/>
      <c r="N27" s="1"/>
    </row>
    <row r="28" spans="1:16">
      <c r="C28" s="5"/>
      <c r="E28" s="1"/>
      <c r="F28" s="1"/>
      <c r="I28" s="1"/>
      <c r="J28" s="1"/>
      <c r="M28" s="1"/>
      <c r="N28" s="1"/>
    </row>
    <row r="29" spans="1:16">
      <c r="C29" s="5"/>
      <c r="E29" s="1"/>
      <c r="F29" s="1"/>
      <c r="I29" s="1"/>
      <c r="J29" s="1"/>
      <c r="M29" s="1"/>
      <c r="N29" s="1"/>
    </row>
    <row r="30" spans="1:16">
      <c r="C30" s="5"/>
      <c r="E30" s="1"/>
      <c r="F30" s="1"/>
      <c r="I30" s="1"/>
      <c r="J30" s="1"/>
      <c r="M30" s="1"/>
      <c r="N30" s="1"/>
    </row>
    <row r="31" spans="1:16">
      <c r="C31" s="5"/>
      <c r="E31" s="1"/>
      <c r="F31" s="1"/>
      <c r="I31" s="1"/>
      <c r="J31" s="1"/>
      <c r="M31" s="1"/>
      <c r="N31" s="1"/>
    </row>
    <row r="32" spans="1:16">
      <c r="C32" s="5"/>
      <c r="E32" s="1"/>
      <c r="F32" s="1"/>
      <c r="I32" s="1"/>
      <c r="J32" s="1"/>
      <c r="M32" s="1"/>
      <c r="N32" s="1"/>
    </row>
    <row r="33" spans="1:16">
      <c r="C33" s="5"/>
      <c r="E33" s="1"/>
      <c r="F33" s="1"/>
      <c r="I33" s="1"/>
      <c r="J33" s="1"/>
      <c r="M33" s="1"/>
      <c r="N33" s="1"/>
    </row>
    <row r="34" spans="1:16">
      <c r="A34" s="11">
        <v>44000034</v>
      </c>
      <c r="B34" s="12" t="s">
        <v>26</v>
      </c>
      <c r="C34" s="48"/>
      <c r="D34" s="48"/>
      <c r="E34" s="10">
        <v>8</v>
      </c>
      <c r="F34" s="10">
        <v>210</v>
      </c>
      <c r="G34" s="1">
        <v>8</v>
      </c>
      <c r="H34" s="1">
        <v>210</v>
      </c>
      <c r="I34" s="10">
        <v>8</v>
      </c>
      <c r="J34" s="10">
        <v>210</v>
      </c>
      <c r="K34" s="1">
        <v>8</v>
      </c>
      <c r="L34" s="1">
        <v>210</v>
      </c>
      <c r="M34" s="10">
        <v>8</v>
      </c>
      <c r="N34" s="10">
        <v>210</v>
      </c>
      <c r="O34" s="1">
        <v>8</v>
      </c>
      <c r="P34" s="1">
        <v>210</v>
      </c>
    </row>
    <row r="35" spans="1:16" ht="23.25">
      <c r="A35" s="11">
        <v>44000035</v>
      </c>
      <c r="B35" s="12" t="s">
        <v>27</v>
      </c>
      <c r="C35" s="51" t="s">
        <v>198</v>
      </c>
      <c r="D35" s="52"/>
      <c r="E35" s="10">
        <v>8</v>
      </c>
      <c r="F35" s="10">
        <v>210</v>
      </c>
      <c r="G35" s="1">
        <v>8</v>
      </c>
      <c r="H35" s="1">
        <v>210</v>
      </c>
      <c r="I35" s="10">
        <v>8</v>
      </c>
      <c r="J35" s="10">
        <v>210</v>
      </c>
      <c r="K35" s="1">
        <v>8</v>
      </c>
      <c r="L35" s="1">
        <v>210</v>
      </c>
      <c r="M35" s="10">
        <v>8</v>
      </c>
      <c r="N35" s="10">
        <v>210</v>
      </c>
      <c r="O35" s="1">
        <v>8</v>
      </c>
      <c r="P35" s="1">
        <v>210</v>
      </c>
    </row>
    <row r="36" spans="1:16" ht="23.25">
      <c r="A36" s="11">
        <v>44000036</v>
      </c>
      <c r="B36" s="11" t="s">
        <v>28</v>
      </c>
      <c r="C36" s="50" t="s">
        <v>199</v>
      </c>
      <c r="D36" s="48"/>
      <c r="E36" s="10">
        <v>8</v>
      </c>
      <c r="F36" s="10">
        <v>208</v>
      </c>
      <c r="G36" s="1">
        <v>9</v>
      </c>
      <c r="H36" s="1">
        <v>214</v>
      </c>
      <c r="I36" s="10">
        <v>8</v>
      </c>
      <c r="J36" s="10">
        <v>209</v>
      </c>
      <c r="K36" s="1">
        <v>8</v>
      </c>
      <c r="L36" s="1">
        <v>211</v>
      </c>
      <c r="M36" s="10">
        <v>7</v>
      </c>
      <c r="N36" s="10">
        <v>205</v>
      </c>
      <c r="O36" s="1">
        <v>9</v>
      </c>
      <c r="P36" s="1">
        <v>213</v>
      </c>
    </row>
    <row r="37" spans="1:16">
      <c r="A37" s="1">
        <v>44000037</v>
      </c>
      <c r="B37" s="2" t="s">
        <v>29</v>
      </c>
      <c r="C37" s="47"/>
      <c r="D37" s="26"/>
      <c r="E37" s="10">
        <v>8</v>
      </c>
      <c r="F37" s="10">
        <v>210</v>
      </c>
      <c r="G37" s="1">
        <v>8</v>
      </c>
      <c r="H37" s="1">
        <v>210</v>
      </c>
      <c r="I37" s="10">
        <v>8</v>
      </c>
      <c r="J37" s="10">
        <v>210</v>
      </c>
      <c r="K37" s="1">
        <v>8</v>
      </c>
      <c r="L37" s="1">
        <v>210</v>
      </c>
      <c r="M37" s="10">
        <v>8</v>
      </c>
      <c r="N37" s="10">
        <v>210</v>
      </c>
      <c r="O37" s="1">
        <v>8</v>
      </c>
      <c r="P37" s="1">
        <v>210</v>
      </c>
    </row>
    <row r="38" spans="1:16" ht="23.25">
      <c r="A38" s="1">
        <v>44000038</v>
      </c>
      <c r="B38" s="1" t="s">
        <v>30</v>
      </c>
      <c r="C38" s="47" t="s">
        <v>200</v>
      </c>
      <c r="D38" s="26"/>
      <c r="E38" s="10">
        <v>8</v>
      </c>
      <c r="F38" s="10">
        <v>212</v>
      </c>
      <c r="G38" s="1">
        <v>7</v>
      </c>
      <c r="H38" s="1">
        <v>207</v>
      </c>
      <c r="I38" s="10">
        <v>8</v>
      </c>
      <c r="J38" s="10">
        <v>212</v>
      </c>
      <c r="K38" s="1">
        <v>8</v>
      </c>
      <c r="L38" s="1">
        <v>211</v>
      </c>
      <c r="M38" s="10">
        <v>8</v>
      </c>
      <c r="N38" s="10">
        <v>212</v>
      </c>
      <c r="O38" s="1">
        <v>7</v>
      </c>
      <c r="P38" s="1">
        <v>206</v>
      </c>
    </row>
    <row r="39" spans="1:16" ht="23.25">
      <c r="A39" s="1">
        <v>44000039</v>
      </c>
      <c r="B39" s="1" t="s">
        <v>31</v>
      </c>
      <c r="C39" s="47" t="s">
        <v>201</v>
      </c>
      <c r="D39" s="26"/>
      <c r="E39" s="10">
        <v>7</v>
      </c>
      <c r="F39" s="10">
        <v>207</v>
      </c>
      <c r="G39" s="1">
        <v>8</v>
      </c>
      <c r="H39" s="1">
        <v>208</v>
      </c>
      <c r="I39" s="10">
        <v>8</v>
      </c>
      <c r="J39" s="10">
        <v>208</v>
      </c>
      <c r="K39" s="1">
        <v>8</v>
      </c>
      <c r="L39" s="1">
        <v>211</v>
      </c>
      <c r="M39" s="10">
        <v>9</v>
      </c>
      <c r="N39" s="10">
        <v>214</v>
      </c>
      <c r="O39" s="1">
        <v>8</v>
      </c>
      <c r="P39" s="1">
        <v>212</v>
      </c>
    </row>
    <row r="40" spans="1:16" ht="23.25">
      <c r="A40" s="1">
        <v>44000040</v>
      </c>
      <c r="B40" s="1" t="s">
        <v>32</v>
      </c>
      <c r="C40" s="47" t="s">
        <v>202</v>
      </c>
      <c r="D40" s="26"/>
      <c r="E40" s="10">
        <v>8</v>
      </c>
      <c r="F40" s="10">
        <v>211</v>
      </c>
      <c r="G40" s="1">
        <v>8</v>
      </c>
      <c r="H40" s="1">
        <v>209</v>
      </c>
      <c r="I40" s="10">
        <v>8</v>
      </c>
      <c r="J40" s="10">
        <v>210</v>
      </c>
      <c r="K40" s="1">
        <v>8</v>
      </c>
      <c r="L40" s="1">
        <v>209</v>
      </c>
      <c r="M40" s="10">
        <v>8</v>
      </c>
      <c r="N40" s="10">
        <v>210</v>
      </c>
      <c r="O40" s="1">
        <v>8</v>
      </c>
      <c r="P40" s="1">
        <v>211</v>
      </c>
    </row>
    <row r="41" spans="1:16" ht="23.25">
      <c r="A41" s="1">
        <v>44000041</v>
      </c>
      <c r="B41" s="1" t="s">
        <v>33</v>
      </c>
      <c r="C41" s="47" t="s">
        <v>203</v>
      </c>
      <c r="D41" s="26"/>
      <c r="E41" s="10">
        <v>8</v>
      </c>
      <c r="F41" s="10">
        <v>211</v>
      </c>
      <c r="G41" s="1">
        <v>8</v>
      </c>
      <c r="H41" s="1">
        <v>209</v>
      </c>
      <c r="I41" s="10">
        <v>8</v>
      </c>
      <c r="J41" s="10">
        <v>212</v>
      </c>
      <c r="K41" s="1">
        <v>8</v>
      </c>
      <c r="L41" s="1">
        <v>208</v>
      </c>
      <c r="M41" s="10">
        <v>9</v>
      </c>
      <c r="N41" s="10">
        <v>213</v>
      </c>
      <c r="O41" s="1">
        <v>7</v>
      </c>
      <c r="P41" s="1">
        <v>207</v>
      </c>
    </row>
    <row r="42" spans="1:16" ht="23.25">
      <c r="A42" s="1">
        <v>44000042</v>
      </c>
      <c r="B42" s="1" t="s">
        <v>34</v>
      </c>
      <c r="C42" s="47" t="s">
        <v>204</v>
      </c>
      <c r="D42" s="26"/>
      <c r="E42" s="10">
        <v>8</v>
      </c>
      <c r="F42" s="10">
        <v>212</v>
      </c>
      <c r="G42" s="1">
        <v>8</v>
      </c>
      <c r="H42" s="1">
        <v>208</v>
      </c>
      <c r="I42" s="10">
        <v>8</v>
      </c>
      <c r="J42" s="10">
        <v>210</v>
      </c>
      <c r="K42" s="1">
        <v>7</v>
      </c>
      <c r="L42" s="1">
        <v>207</v>
      </c>
      <c r="M42" s="10">
        <v>8</v>
      </c>
      <c r="N42" s="10">
        <v>211</v>
      </c>
      <c r="O42" s="1">
        <v>8</v>
      </c>
      <c r="P42" s="1">
        <v>212</v>
      </c>
    </row>
    <row r="43" spans="1:16" ht="23.25">
      <c r="A43" s="1">
        <v>44000043</v>
      </c>
      <c r="B43" s="1" t="s">
        <v>35</v>
      </c>
      <c r="C43" s="47" t="s">
        <v>205</v>
      </c>
      <c r="D43" s="26"/>
      <c r="E43" s="10">
        <v>8</v>
      </c>
      <c r="F43" s="10">
        <v>209</v>
      </c>
      <c r="G43" s="1">
        <v>8</v>
      </c>
      <c r="H43" s="1">
        <v>211</v>
      </c>
      <c r="I43" s="10">
        <v>7</v>
      </c>
      <c r="J43" s="10">
        <v>207</v>
      </c>
      <c r="K43" s="1">
        <v>8</v>
      </c>
      <c r="L43" s="1">
        <v>212</v>
      </c>
      <c r="M43" s="10">
        <v>9</v>
      </c>
      <c r="N43" s="10">
        <v>213</v>
      </c>
      <c r="O43" s="1">
        <v>8</v>
      </c>
      <c r="P43" s="1">
        <v>208</v>
      </c>
    </row>
    <row r="44" spans="1:16" ht="23.25">
      <c r="A44" s="11">
        <v>44000044</v>
      </c>
      <c r="B44" s="11" t="s">
        <v>36</v>
      </c>
      <c r="C44" s="48" t="s">
        <v>37</v>
      </c>
      <c r="D44" s="48"/>
      <c r="E44" s="10">
        <v>8</v>
      </c>
      <c r="F44" s="10">
        <v>209</v>
      </c>
      <c r="G44" s="1">
        <v>8</v>
      </c>
      <c r="H44" s="1">
        <v>209</v>
      </c>
      <c r="I44" s="10">
        <v>8</v>
      </c>
      <c r="J44" s="10">
        <v>211</v>
      </c>
      <c r="K44" s="1">
        <v>8</v>
      </c>
      <c r="L44" s="1">
        <v>212</v>
      </c>
      <c r="M44" s="10">
        <v>8</v>
      </c>
      <c r="N44" s="10">
        <v>211</v>
      </c>
      <c r="O44" s="1">
        <v>8</v>
      </c>
      <c r="P44" s="1">
        <v>208</v>
      </c>
    </row>
    <row r="45" spans="1:16" ht="23.25">
      <c r="A45" s="11">
        <v>44000045</v>
      </c>
      <c r="B45" s="11" t="s">
        <v>38</v>
      </c>
      <c r="C45" s="48" t="s">
        <v>39</v>
      </c>
      <c r="D45" s="48"/>
      <c r="E45" s="10">
        <v>8</v>
      </c>
      <c r="F45" s="10">
        <v>211</v>
      </c>
      <c r="G45" s="1">
        <v>8</v>
      </c>
      <c r="H45" s="1">
        <v>209</v>
      </c>
      <c r="I45" s="10">
        <v>8</v>
      </c>
      <c r="J45" s="10">
        <v>212</v>
      </c>
      <c r="K45" s="1">
        <v>8</v>
      </c>
      <c r="L45" s="1">
        <v>211</v>
      </c>
      <c r="M45" s="10">
        <v>8</v>
      </c>
      <c r="N45" s="10">
        <v>208</v>
      </c>
      <c r="O45" s="1">
        <v>8</v>
      </c>
      <c r="P45" s="1">
        <v>209</v>
      </c>
    </row>
    <row r="46" spans="1:16" ht="23.25">
      <c r="A46" s="11">
        <v>44000046</v>
      </c>
      <c r="B46" s="11" t="s">
        <v>40</v>
      </c>
      <c r="C46" s="48" t="s">
        <v>41</v>
      </c>
      <c r="D46" s="48"/>
      <c r="E46" s="10">
        <v>8</v>
      </c>
      <c r="F46" s="10">
        <v>211</v>
      </c>
      <c r="G46" s="1">
        <v>8</v>
      </c>
      <c r="H46" s="1">
        <v>212</v>
      </c>
      <c r="I46" s="10">
        <v>8</v>
      </c>
      <c r="J46" s="10">
        <v>212</v>
      </c>
      <c r="K46" s="1">
        <v>8</v>
      </c>
      <c r="L46" s="1">
        <v>208</v>
      </c>
      <c r="M46" s="10">
        <v>7</v>
      </c>
      <c r="N46" s="10">
        <v>207</v>
      </c>
      <c r="O46" s="1">
        <v>8</v>
      </c>
      <c r="P46" s="1">
        <v>210</v>
      </c>
    </row>
    <row r="47" spans="1:16" ht="23.25">
      <c r="A47" s="11">
        <v>44000047</v>
      </c>
      <c r="B47" s="11" t="s">
        <v>42</v>
      </c>
      <c r="C47" s="48" t="s">
        <v>43</v>
      </c>
      <c r="D47" s="48"/>
      <c r="E47" s="10">
        <v>7</v>
      </c>
      <c r="F47" s="10">
        <v>207</v>
      </c>
      <c r="G47" s="1">
        <v>8</v>
      </c>
      <c r="H47" s="1">
        <v>212</v>
      </c>
      <c r="I47" s="10">
        <v>8</v>
      </c>
      <c r="J47" s="10">
        <v>211</v>
      </c>
      <c r="K47" s="1">
        <v>8</v>
      </c>
      <c r="L47" s="1">
        <v>208</v>
      </c>
      <c r="M47" s="10">
        <v>8</v>
      </c>
      <c r="N47" s="10">
        <v>211</v>
      </c>
      <c r="O47" s="1">
        <v>8</v>
      </c>
      <c r="P47" s="1">
        <v>211</v>
      </c>
    </row>
    <row r="48" spans="1:16" ht="23.25">
      <c r="A48" s="11">
        <v>44000048</v>
      </c>
      <c r="B48" s="11" t="s">
        <v>44</v>
      </c>
      <c r="C48" s="48" t="s">
        <v>45</v>
      </c>
      <c r="D48" s="48"/>
      <c r="E48" s="10">
        <v>8</v>
      </c>
      <c r="F48" s="10">
        <v>211</v>
      </c>
      <c r="G48" s="1">
        <v>8</v>
      </c>
      <c r="H48" s="1">
        <v>208</v>
      </c>
      <c r="I48" s="10">
        <v>7</v>
      </c>
      <c r="J48" s="10">
        <v>207</v>
      </c>
      <c r="K48" s="1">
        <v>8</v>
      </c>
      <c r="L48" s="1">
        <v>210</v>
      </c>
      <c r="M48" s="10">
        <v>8</v>
      </c>
      <c r="N48" s="10">
        <v>212</v>
      </c>
      <c r="O48" s="1">
        <v>8</v>
      </c>
      <c r="P48" s="1">
        <v>212</v>
      </c>
    </row>
    <row r="49" spans="1:16" ht="23.25">
      <c r="A49" s="11">
        <v>44000049</v>
      </c>
      <c r="B49" s="11" t="s">
        <v>46</v>
      </c>
      <c r="C49" s="48" t="s">
        <v>47</v>
      </c>
      <c r="D49" s="48"/>
      <c r="E49" s="10">
        <v>8</v>
      </c>
      <c r="F49" s="10">
        <v>208</v>
      </c>
      <c r="G49" s="1">
        <v>8</v>
      </c>
      <c r="H49" s="1">
        <v>210</v>
      </c>
      <c r="I49" s="10">
        <v>9</v>
      </c>
      <c r="J49" s="10">
        <v>213</v>
      </c>
      <c r="K49" s="1">
        <v>8</v>
      </c>
      <c r="L49" s="1">
        <v>209</v>
      </c>
      <c r="M49" s="10">
        <v>8</v>
      </c>
      <c r="N49" s="10">
        <v>212</v>
      </c>
      <c r="O49" s="1">
        <v>8</v>
      </c>
      <c r="P49" s="1">
        <v>208</v>
      </c>
    </row>
    <row r="50" spans="1:16" ht="23.25">
      <c r="A50" s="1">
        <v>44000050</v>
      </c>
      <c r="B50" s="1" t="s">
        <v>48</v>
      </c>
      <c r="C50" s="26" t="s">
        <v>49</v>
      </c>
      <c r="D50" s="26"/>
      <c r="E50" s="10">
        <v>8</v>
      </c>
      <c r="F50" s="10">
        <v>210</v>
      </c>
      <c r="G50" s="1">
        <v>8</v>
      </c>
      <c r="H50" s="1">
        <v>212</v>
      </c>
      <c r="I50" s="10">
        <v>8</v>
      </c>
      <c r="J50" s="10">
        <v>210</v>
      </c>
      <c r="K50" s="1">
        <v>8</v>
      </c>
      <c r="L50" s="1">
        <v>208</v>
      </c>
      <c r="M50" s="10">
        <v>8</v>
      </c>
      <c r="N50" s="10">
        <v>211</v>
      </c>
      <c r="O50" s="1">
        <v>8</v>
      </c>
      <c r="P50" s="1">
        <v>209</v>
      </c>
    </row>
    <row r="51" spans="1:16" ht="23.25">
      <c r="A51" s="1">
        <v>44000051</v>
      </c>
      <c r="B51" s="1" t="s">
        <v>50</v>
      </c>
      <c r="C51" s="26" t="s">
        <v>51</v>
      </c>
      <c r="D51" s="26"/>
      <c r="E51" s="10">
        <v>8</v>
      </c>
      <c r="F51" s="10">
        <v>209</v>
      </c>
      <c r="G51" s="1">
        <v>9</v>
      </c>
      <c r="H51" s="1">
        <v>213</v>
      </c>
      <c r="I51" s="10">
        <v>8</v>
      </c>
      <c r="J51" s="10">
        <v>210</v>
      </c>
      <c r="K51" s="1">
        <v>8</v>
      </c>
      <c r="L51" s="1">
        <v>210</v>
      </c>
      <c r="M51" s="10">
        <v>7</v>
      </c>
      <c r="N51" s="10">
        <v>207</v>
      </c>
      <c r="O51" s="1">
        <v>8</v>
      </c>
      <c r="P51" s="1">
        <v>211</v>
      </c>
    </row>
    <row r="52" spans="1:16" ht="23.25">
      <c r="A52" s="1">
        <v>44000052</v>
      </c>
      <c r="B52" s="1" t="s">
        <v>52</v>
      </c>
      <c r="C52" s="26" t="s">
        <v>53</v>
      </c>
      <c r="D52" s="26"/>
      <c r="E52" s="10">
        <v>8</v>
      </c>
      <c r="F52" s="10">
        <v>210</v>
      </c>
      <c r="G52" s="1">
        <v>8</v>
      </c>
      <c r="H52" s="1">
        <v>208</v>
      </c>
      <c r="I52" s="10">
        <v>8</v>
      </c>
      <c r="J52" s="10">
        <v>211</v>
      </c>
      <c r="K52" s="1">
        <v>8</v>
      </c>
      <c r="L52" s="1">
        <v>208</v>
      </c>
      <c r="M52" s="10">
        <v>9</v>
      </c>
      <c r="N52" s="10">
        <v>214</v>
      </c>
      <c r="O52" s="1">
        <v>8</v>
      </c>
      <c r="P52" s="1">
        <v>209</v>
      </c>
    </row>
    <row r="53" spans="1:16" ht="23.25">
      <c r="A53" s="1">
        <v>44000053</v>
      </c>
      <c r="B53" s="1" t="s">
        <v>54</v>
      </c>
      <c r="C53" s="26" t="s">
        <v>55</v>
      </c>
      <c r="D53" s="26"/>
      <c r="E53" s="10">
        <v>8</v>
      </c>
      <c r="F53" s="10">
        <v>210</v>
      </c>
      <c r="G53" s="1">
        <v>7</v>
      </c>
      <c r="H53" s="1">
        <v>207</v>
      </c>
      <c r="I53" s="10">
        <v>9</v>
      </c>
      <c r="J53" s="10">
        <v>215</v>
      </c>
      <c r="K53" s="1">
        <v>8</v>
      </c>
      <c r="L53" s="1">
        <v>212</v>
      </c>
      <c r="M53" s="10">
        <v>7</v>
      </c>
      <c r="N53" s="10">
        <v>207</v>
      </c>
      <c r="O53" s="1">
        <v>8</v>
      </c>
      <c r="P53" s="1">
        <v>209</v>
      </c>
    </row>
    <row r="54" spans="1:16" ht="23.25">
      <c r="A54" s="1">
        <v>44000054</v>
      </c>
      <c r="B54" s="1" t="s">
        <v>56</v>
      </c>
      <c r="C54" s="26" t="s">
        <v>57</v>
      </c>
      <c r="D54" s="26"/>
      <c r="E54" s="10">
        <v>8</v>
      </c>
      <c r="F54" s="10">
        <v>210</v>
      </c>
      <c r="G54" s="1">
        <v>8</v>
      </c>
      <c r="H54" s="1">
        <v>210</v>
      </c>
      <c r="I54" s="10">
        <v>8</v>
      </c>
      <c r="J54" s="10">
        <v>210</v>
      </c>
      <c r="K54" s="1">
        <v>8</v>
      </c>
      <c r="L54" s="1">
        <v>210</v>
      </c>
      <c r="M54" s="10">
        <v>8</v>
      </c>
      <c r="N54" s="10">
        <v>210</v>
      </c>
      <c r="O54" s="1">
        <v>8</v>
      </c>
      <c r="P54" s="1">
        <v>210</v>
      </c>
    </row>
    <row r="55" spans="1:16" ht="23.25">
      <c r="A55" s="1">
        <v>44000055</v>
      </c>
      <c r="B55" s="1" t="s">
        <v>58</v>
      </c>
      <c r="C55" s="26" t="s">
        <v>59</v>
      </c>
      <c r="D55" s="26"/>
      <c r="E55" s="10">
        <v>8</v>
      </c>
      <c r="F55" s="10">
        <v>212</v>
      </c>
      <c r="G55" s="1">
        <v>7</v>
      </c>
      <c r="H55" s="1">
        <v>206</v>
      </c>
      <c r="I55" s="10">
        <v>8</v>
      </c>
      <c r="J55" s="10">
        <v>211</v>
      </c>
      <c r="K55" s="1">
        <v>8</v>
      </c>
      <c r="L55" s="1">
        <v>212</v>
      </c>
      <c r="M55" s="10">
        <v>7</v>
      </c>
      <c r="N55" s="10">
        <v>207</v>
      </c>
      <c r="O55" s="1">
        <v>8</v>
      </c>
      <c r="P55" s="1">
        <v>212</v>
      </c>
    </row>
    <row r="56" spans="1:16" ht="29.25">
      <c r="A56" s="11">
        <v>44000056</v>
      </c>
      <c r="B56" s="11" t="s">
        <v>60</v>
      </c>
      <c r="C56" s="48" t="s">
        <v>61</v>
      </c>
      <c r="D56" s="48"/>
      <c r="E56" s="10">
        <v>8</v>
      </c>
      <c r="F56" s="10">
        <v>212</v>
      </c>
      <c r="G56" s="1">
        <v>8</v>
      </c>
      <c r="H56" s="1">
        <v>211</v>
      </c>
      <c r="I56" s="10">
        <v>9</v>
      </c>
      <c r="J56" s="10">
        <v>213</v>
      </c>
      <c r="K56" s="1">
        <v>8</v>
      </c>
      <c r="L56" s="1">
        <v>210</v>
      </c>
      <c r="M56" s="10">
        <v>8</v>
      </c>
      <c r="N56" s="10">
        <v>208</v>
      </c>
      <c r="O56" s="1">
        <v>7</v>
      </c>
      <c r="P56" s="1">
        <v>206</v>
      </c>
    </row>
    <row r="57" spans="1:16" ht="23.25">
      <c r="A57" s="11">
        <v>44000057</v>
      </c>
      <c r="B57" s="11" t="s">
        <v>62</v>
      </c>
      <c r="C57" s="48" t="s">
        <v>63</v>
      </c>
      <c r="D57" s="48"/>
      <c r="E57" s="10">
        <v>8</v>
      </c>
      <c r="F57" s="10">
        <v>209</v>
      </c>
      <c r="G57" s="1">
        <v>7</v>
      </c>
      <c r="H57" s="1">
        <v>207</v>
      </c>
      <c r="I57" s="10">
        <v>8</v>
      </c>
      <c r="J57" s="10">
        <v>209</v>
      </c>
      <c r="K57" s="1">
        <v>8</v>
      </c>
      <c r="L57" s="1">
        <v>212</v>
      </c>
      <c r="M57" s="10">
        <v>9</v>
      </c>
      <c r="N57" s="10">
        <v>215</v>
      </c>
      <c r="O57" s="1">
        <v>8</v>
      </c>
      <c r="P57" s="1">
        <v>208</v>
      </c>
    </row>
    <row r="58" spans="1:16" ht="29.25">
      <c r="A58" s="11">
        <v>44000058</v>
      </c>
      <c r="B58" s="11" t="s">
        <v>64</v>
      </c>
      <c r="C58" s="48" t="s">
        <v>65</v>
      </c>
      <c r="D58" s="48"/>
      <c r="E58" s="10">
        <v>8</v>
      </c>
      <c r="F58" s="10">
        <v>208</v>
      </c>
      <c r="G58" s="1">
        <v>9</v>
      </c>
      <c r="H58" s="1">
        <v>214</v>
      </c>
      <c r="I58" s="10">
        <v>8</v>
      </c>
      <c r="J58" s="10">
        <v>211</v>
      </c>
      <c r="K58" s="1">
        <v>7</v>
      </c>
      <c r="L58" s="1">
        <v>207</v>
      </c>
      <c r="M58" s="10">
        <v>9</v>
      </c>
      <c r="N58" s="10">
        <v>213</v>
      </c>
      <c r="O58" s="1">
        <v>7</v>
      </c>
      <c r="P58" s="1">
        <v>207</v>
      </c>
    </row>
    <row r="59" spans="1:16" ht="29.25">
      <c r="A59" s="11">
        <v>44000059</v>
      </c>
      <c r="B59" s="11" t="s">
        <v>66</v>
      </c>
      <c r="C59" s="49" t="s">
        <v>67</v>
      </c>
      <c r="D59" s="49"/>
      <c r="E59" s="10">
        <v>7</v>
      </c>
      <c r="F59" s="10">
        <v>207</v>
      </c>
      <c r="G59" s="1">
        <v>7</v>
      </c>
      <c r="H59" s="1">
        <v>205</v>
      </c>
      <c r="I59" s="10">
        <v>8</v>
      </c>
      <c r="J59" s="10">
        <v>212</v>
      </c>
      <c r="K59" s="1">
        <v>9</v>
      </c>
      <c r="L59" s="1">
        <v>215</v>
      </c>
      <c r="M59" s="10">
        <v>9</v>
      </c>
      <c r="N59" s="10">
        <v>214</v>
      </c>
      <c r="O59" s="1">
        <v>7</v>
      </c>
      <c r="P59" s="1">
        <v>207</v>
      </c>
    </row>
    <row r="60" spans="1:16" ht="29.25">
      <c r="A60" s="11">
        <v>44000060</v>
      </c>
      <c r="B60" s="11" t="s">
        <v>68</v>
      </c>
      <c r="C60" s="48" t="s">
        <v>69</v>
      </c>
      <c r="D60" s="48"/>
      <c r="E60" s="10">
        <v>9</v>
      </c>
      <c r="F60" s="10">
        <v>213</v>
      </c>
      <c r="G60" s="1">
        <v>7</v>
      </c>
      <c r="H60" s="1">
        <v>206</v>
      </c>
      <c r="I60" s="10">
        <v>8</v>
      </c>
      <c r="J60" s="10">
        <v>208</v>
      </c>
      <c r="K60" s="1">
        <v>8</v>
      </c>
      <c r="L60" s="1">
        <v>212</v>
      </c>
      <c r="M60" s="10">
        <v>9</v>
      </c>
      <c r="N60" s="10">
        <v>213</v>
      </c>
      <c r="O60" s="1">
        <v>8</v>
      </c>
      <c r="P60" s="1">
        <v>208</v>
      </c>
    </row>
    <row r="61" spans="1:16" ht="29.25">
      <c r="A61" s="11">
        <v>44000061</v>
      </c>
      <c r="B61" s="11" t="s">
        <v>70</v>
      </c>
      <c r="C61" s="48" t="s">
        <v>71</v>
      </c>
      <c r="D61" s="48"/>
      <c r="E61" s="10">
        <v>7</v>
      </c>
      <c r="F61" s="10">
        <v>207</v>
      </c>
      <c r="G61" s="1">
        <v>8</v>
      </c>
      <c r="H61" s="1">
        <v>211</v>
      </c>
      <c r="I61" s="10">
        <v>7</v>
      </c>
      <c r="J61" s="10">
        <v>207</v>
      </c>
      <c r="K61" s="1">
        <v>7</v>
      </c>
      <c r="L61" s="1">
        <v>207</v>
      </c>
      <c r="M61" s="10">
        <v>9</v>
      </c>
      <c r="N61" s="10">
        <v>213</v>
      </c>
      <c r="O61" s="1">
        <v>9</v>
      </c>
      <c r="P61" s="1">
        <v>215</v>
      </c>
    </row>
    <row r="62" spans="1:16" ht="23.25">
      <c r="A62" s="1">
        <v>44000062</v>
      </c>
      <c r="B62" s="1" t="s">
        <v>72</v>
      </c>
      <c r="C62" s="47" t="s">
        <v>206</v>
      </c>
      <c r="D62" s="26"/>
      <c r="E62" s="10">
        <v>9</v>
      </c>
      <c r="F62" s="10">
        <v>214</v>
      </c>
      <c r="G62" s="1">
        <v>7</v>
      </c>
      <c r="H62" s="1">
        <v>207</v>
      </c>
      <c r="I62" s="10">
        <v>8</v>
      </c>
      <c r="J62" s="10">
        <v>210</v>
      </c>
      <c r="K62" s="1">
        <v>8</v>
      </c>
      <c r="L62" s="1">
        <v>212</v>
      </c>
      <c r="M62" s="10">
        <v>8</v>
      </c>
      <c r="N62" s="10">
        <v>209</v>
      </c>
      <c r="O62" s="1">
        <v>8</v>
      </c>
      <c r="P62" s="1">
        <v>208</v>
      </c>
    </row>
    <row r="63" spans="1:16" ht="23.25">
      <c r="A63" s="1">
        <v>44000063</v>
      </c>
      <c r="B63" s="1" t="s">
        <v>73</v>
      </c>
      <c r="C63" s="47" t="s">
        <v>207</v>
      </c>
      <c r="D63" s="26"/>
      <c r="E63" s="10">
        <v>8</v>
      </c>
      <c r="F63" s="10">
        <v>212</v>
      </c>
      <c r="G63" s="1">
        <v>8</v>
      </c>
      <c r="H63" s="1">
        <v>211</v>
      </c>
      <c r="I63" s="10">
        <v>8</v>
      </c>
      <c r="J63" s="10">
        <v>212</v>
      </c>
      <c r="K63" s="1">
        <v>8</v>
      </c>
      <c r="L63" s="1">
        <v>210</v>
      </c>
      <c r="M63" s="10">
        <v>8</v>
      </c>
      <c r="N63" s="10">
        <v>208</v>
      </c>
      <c r="O63" s="1">
        <v>7</v>
      </c>
      <c r="P63" s="1">
        <v>207</v>
      </c>
    </row>
    <row r="64" spans="1:16" ht="23.25">
      <c r="A64" s="1">
        <v>44000064</v>
      </c>
      <c r="B64" s="1" t="s">
        <v>74</v>
      </c>
      <c r="C64" s="47" t="s">
        <v>208</v>
      </c>
      <c r="D64" s="26"/>
      <c r="E64" s="10">
        <v>8</v>
      </c>
      <c r="F64" s="10">
        <v>209</v>
      </c>
      <c r="G64" s="1">
        <v>7</v>
      </c>
      <c r="H64" s="1">
        <v>207</v>
      </c>
      <c r="I64" s="10">
        <v>8</v>
      </c>
      <c r="J64" s="10">
        <v>212</v>
      </c>
      <c r="K64" s="1">
        <v>8</v>
      </c>
      <c r="L64" s="1">
        <v>212</v>
      </c>
      <c r="M64" s="10">
        <v>9</v>
      </c>
      <c r="N64" s="10">
        <v>214</v>
      </c>
      <c r="O64" s="1">
        <v>7</v>
      </c>
      <c r="P64" s="1">
        <v>206</v>
      </c>
    </row>
    <row r="65" spans="1:16" ht="23.25">
      <c r="A65" s="1">
        <v>44000065</v>
      </c>
      <c r="B65" s="1" t="s">
        <v>75</v>
      </c>
      <c r="C65" s="47" t="s">
        <v>209</v>
      </c>
      <c r="D65" s="26"/>
      <c r="E65" s="10">
        <v>8</v>
      </c>
      <c r="F65" s="10">
        <v>209</v>
      </c>
      <c r="G65" s="1">
        <v>8</v>
      </c>
      <c r="H65" s="1">
        <v>210</v>
      </c>
      <c r="I65" s="10">
        <v>7</v>
      </c>
      <c r="J65" s="10">
        <v>206</v>
      </c>
      <c r="K65" s="1">
        <v>7</v>
      </c>
      <c r="L65" s="1">
        <v>206</v>
      </c>
      <c r="M65" s="10">
        <v>9</v>
      </c>
      <c r="N65" s="10">
        <v>214</v>
      </c>
      <c r="O65" s="1">
        <v>9</v>
      </c>
      <c r="P65" s="1">
        <v>215</v>
      </c>
    </row>
    <row r="66" spans="1:16" ht="23.25">
      <c r="A66" s="1">
        <v>44000066</v>
      </c>
      <c r="B66" s="1" t="s">
        <v>76</v>
      </c>
      <c r="C66" s="47" t="s">
        <v>210</v>
      </c>
      <c r="D66" s="26"/>
      <c r="E66" s="10">
        <v>9</v>
      </c>
      <c r="F66" s="10">
        <v>213</v>
      </c>
      <c r="G66" s="1">
        <v>7</v>
      </c>
      <c r="H66" s="1">
        <v>204</v>
      </c>
      <c r="I66" s="10">
        <v>9</v>
      </c>
      <c r="J66" s="10">
        <v>215</v>
      </c>
      <c r="K66" s="1">
        <v>9</v>
      </c>
      <c r="L66" s="1">
        <v>213</v>
      </c>
      <c r="M66" s="10">
        <v>8</v>
      </c>
      <c r="N66" s="10">
        <v>210</v>
      </c>
      <c r="O66" s="1">
        <v>7</v>
      </c>
      <c r="P66" s="1">
        <v>205</v>
      </c>
    </row>
    <row r="67" spans="1:16" ht="23.25">
      <c r="A67" s="1">
        <v>44000067</v>
      </c>
      <c r="B67" s="1" t="s">
        <v>77</v>
      </c>
      <c r="C67" s="47" t="s">
        <v>211</v>
      </c>
      <c r="D67" s="26"/>
      <c r="E67" s="10">
        <v>8</v>
      </c>
      <c r="F67" s="10">
        <v>212</v>
      </c>
      <c r="G67" s="1">
        <v>8</v>
      </c>
      <c r="H67" s="1">
        <v>212</v>
      </c>
      <c r="I67" s="10">
        <v>8</v>
      </c>
      <c r="J67" s="10">
        <v>208</v>
      </c>
      <c r="K67" s="1">
        <v>8</v>
      </c>
      <c r="L67" s="1">
        <v>212</v>
      </c>
      <c r="M67" s="10">
        <v>8</v>
      </c>
      <c r="N67" s="10">
        <v>208</v>
      </c>
      <c r="O67" s="1">
        <v>8</v>
      </c>
      <c r="P67" s="1">
        <v>208</v>
      </c>
    </row>
    <row r="68" spans="1:16" ht="23.25">
      <c r="A68" s="1">
        <v>44000068</v>
      </c>
      <c r="B68" s="1" t="s">
        <v>78</v>
      </c>
      <c r="C68" s="47" t="s">
        <v>212</v>
      </c>
      <c r="D68" s="26"/>
      <c r="E68" s="10">
        <v>8</v>
      </c>
      <c r="F68" s="10">
        <v>212</v>
      </c>
      <c r="G68" s="1">
        <v>8</v>
      </c>
      <c r="H68" s="1">
        <v>212</v>
      </c>
      <c r="I68" s="10">
        <v>8</v>
      </c>
      <c r="J68" s="10">
        <v>210</v>
      </c>
      <c r="K68" s="1">
        <v>8</v>
      </c>
      <c r="L68" s="1">
        <v>208</v>
      </c>
      <c r="M68" s="10">
        <v>8</v>
      </c>
      <c r="N68" s="10">
        <v>208</v>
      </c>
      <c r="O68" s="1">
        <v>8</v>
      </c>
      <c r="P68" s="1">
        <v>210</v>
      </c>
    </row>
    <row r="69" spans="1:16">
      <c r="A69" s="58">
        <v>44000069</v>
      </c>
      <c r="B69" s="58" t="s">
        <v>314</v>
      </c>
      <c r="C69" s="59" t="s">
        <v>315</v>
      </c>
      <c r="D69" s="59"/>
      <c r="E69" s="10">
        <v>8</v>
      </c>
      <c r="F69" s="10">
        <v>210</v>
      </c>
      <c r="G69" s="1">
        <v>8</v>
      </c>
      <c r="H69" s="1">
        <v>210</v>
      </c>
      <c r="I69" s="10">
        <v>8</v>
      </c>
      <c r="J69" s="10">
        <v>208</v>
      </c>
      <c r="K69" s="1">
        <v>8</v>
      </c>
      <c r="L69" s="1">
        <v>208</v>
      </c>
      <c r="M69" s="10">
        <v>9</v>
      </c>
      <c r="N69" s="10">
        <v>214</v>
      </c>
      <c r="O69" s="1">
        <v>8</v>
      </c>
      <c r="P69" s="1">
        <v>210</v>
      </c>
    </row>
    <row r="70" spans="1:16">
      <c r="A70" s="58">
        <v>44000070</v>
      </c>
      <c r="B70" s="58" t="s">
        <v>317</v>
      </c>
      <c r="C70" s="59" t="s">
        <v>318</v>
      </c>
      <c r="D70" s="59"/>
      <c r="E70" s="10">
        <v>7</v>
      </c>
      <c r="F70" s="10">
        <v>206</v>
      </c>
      <c r="G70" s="1">
        <v>9</v>
      </c>
      <c r="H70" s="1">
        <v>214</v>
      </c>
      <c r="I70" s="10">
        <v>8</v>
      </c>
      <c r="J70" s="10">
        <v>210</v>
      </c>
      <c r="K70" s="1">
        <v>8</v>
      </c>
      <c r="L70" s="1">
        <v>210</v>
      </c>
      <c r="M70" s="10">
        <v>8</v>
      </c>
      <c r="N70" s="10">
        <v>212</v>
      </c>
      <c r="O70" s="1">
        <v>8</v>
      </c>
      <c r="P70" s="1">
        <v>208</v>
      </c>
    </row>
    <row r="71" spans="1:16">
      <c r="A71" s="58">
        <v>44000071</v>
      </c>
      <c r="B71" s="58" t="s">
        <v>320</v>
      </c>
      <c r="C71" s="59" t="s">
        <v>321</v>
      </c>
      <c r="D71" s="59"/>
      <c r="E71" s="10">
        <v>9</v>
      </c>
      <c r="F71" s="10">
        <v>214</v>
      </c>
      <c r="G71" s="1">
        <v>7</v>
      </c>
      <c r="H71" s="1">
        <v>206</v>
      </c>
      <c r="I71" s="10">
        <v>8</v>
      </c>
      <c r="J71" s="10">
        <v>210</v>
      </c>
      <c r="K71" s="1">
        <v>8</v>
      </c>
      <c r="L71" s="1">
        <v>210</v>
      </c>
      <c r="M71" s="10">
        <v>8</v>
      </c>
      <c r="N71" s="10">
        <v>212</v>
      </c>
      <c r="O71" s="1">
        <v>8</v>
      </c>
      <c r="P71" s="1">
        <v>208</v>
      </c>
    </row>
    <row r="72" spans="1:16">
      <c r="C72" s="26"/>
      <c r="D72" s="26"/>
    </row>
    <row r="73" spans="1:16">
      <c r="C73" s="26"/>
      <c r="D73" s="26"/>
    </row>
    <row r="74" spans="1:16">
      <c r="C74" s="26"/>
      <c r="D74" s="26"/>
    </row>
    <row r="75" spans="1:16">
      <c r="C75" s="26"/>
      <c r="D75" s="26"/>
    </row>
    <row r="76" spans="1:16">
      <c r="C76" s="26"/>
      <c r="D76" s="26"/>
    </row>
    <row r="77" spans="1:16">
      <c r="C77" s="26"/>
      <c r="D77" s="26"/>
    </row>
    <row r="78" spans="1:16">
      <c r="C78" s="26"/>
      <c r="D78" s="26"/>
    </row>
    <row r="79" spans="1:16">
      <c r="C79" s="26"/>
      <c r="D79" s="26"/>
    </row>
    <row r="80" spans="1:16">
      <c r="C80" s="26"/>
      <c r="D80" s="26"/>
    </row>
    <row r="81" spans="1:17" s="10" customFormat="1">
      <c r="A81" s="1"/>
      <c r="B81" s="1"/>
      <c r="C81" s="26"/>
      <c r="D81" s="26"/>
      <c r="G81" s="1"/>
      <c r="H81" s="1"/>
      <c r="K81" s="1"/>
      <c r="L81" s="1"/>
      <c r="O81" s="1"/>
      <c r="P81" s="1"/>
      <c r="Q81" s="1"/>
    </row>
    <row r="82" spans="1:17" s="10" customFormat="1">
      <c r="A82" s="1"/>
      <c r="B82" s="1"/>
      <c r="C82" s="26"/>
      <c r="D82" s="26"/>
      <c r="G82" s="1"/>
      <c r="H82" s="1"/>
      <c r="K82" s="1"/>
      <c r="L82" s="1"/>
      <c r="O82" s="1"/>
      <c r="P82" s="1"/>
      <c r="Q82" s="1"/>
    </row>
    <row r="83" spans="1:17" s="10" customFormat="1">
      <c r="A83" s="1"/>
      <c r="B83" s="1"/>
      <c r="C83" s="26"/>
      <c r="D83" s="26"/>
      <c r="G83" s="1"/>
      <c r="H83" s="1"/>
      <c r="K83" s="1"/>
      <c r="L83" s="1"/>
      <c r="O83" s="1"/>
      <c r="P83" s="1"/>
      <c r="Q83" s="1"/>
    </row>
    <row r="84" spans="1:17" s="10" customFormat="1">
      <c r="A84" s="1"/>
      <c r="B84" s="1"/>
      <c r="C84" s="26"/>
      <c r="D84" s="26"/>
      <c r="G84" s="1"/>
      <c r="H84" s="1"/>
      <c r="K84" s="1"/>
      <c r="L84" s="1"/>
      <c r="O84" s="1"/>
      <c r="P84" s="1"/>
      <c r="Q84" s="1"/>
    </row>
    <row r="85" spans="1:17" s="10" customFormat="1">
      <c r="A85" s="1"/>
      <c r="B85" s="1"/>
      <c r="C85" s="26"/>
      <c r="D85" s="26"/>
      <c r="G85" s="1"/>
      <c r="H85" s="1"/>
      <c r="K85" s="1"/>
      <c r="L85" s="1"/>
      <c r="O85" s="1"/>
      <c r="P85" s="1"/>
      <c r="Q85" s="1"/>
    </row>
    <row r="86" spans="1:17" s="10" customFormat="1">
      <c r="A86" s="1"/>
      <c r="B86" s="1"/>
      <c r="C86" s="26"/>
      <c r="D86" s="26"/>
      <c r="G86" s="1"/>
      <c r="H86" s="1"/>
      <c r="K86" s="1"/>
      <c r="L86" s="1"/>
      <c r="O86" s="1"/>
      <c r="P86" s="1"/>
      <c r="Q86" s="1"/>
    </row>
    <row r="87" spans="1:17" s="10" customFormat="1">
      <c r="A87" s="1"/>
      <c r="B87" s="1"/>
      <c r="C87" s="26"/>
      <c r="D87" s="26"/>
      <c r="G87" s="1"/>
      <c r="H87" s="1"/>
      <c r="K87" s="1"/>
      <c r="L87" s="1"/>
      <c r="O87" s="1"/>
      <c r="P87" s="1"/>
      <c r="Q87" s="1"/>
    </row>
    <row r="88" spans="1:17" s="10" customFormat="1">
      <c r="A88" s="1"/>
      <c r="B88" s="1"/>
      <c r="C88" s="26"/>
      <c r="D88" s="26"/>
      <c r="G88" s="1"/>
      <c r="H88" s="1"/>
      <c r="K88" s="1"/>
      <c r="L88" s="1"/>
      <c r="O88" s="1"/>
      <c r="P88" s="1"/>
      <c r="Q88" s="1"/>
    </row>
    <row r="89" spans="1:17" s="10" customFormat="1">
      <c r="A89" s="1"/>
      <c r="B89" s="1"/>
      <c r="C89" s="26"/>
      <c r="D89" s="26"/>
      <c r="G89" s="1"/>
      <c r="H89" s="1"/>
      <c r="K89" s="1"/>
      <c r="L89" s="1"/>
      <c r="O89" s="1"/>
      <c r="P89" s="1"/>
      <c r="Q89" s="1"/>
    </row>
    <row r="90" spans="1:17" s="10" customFormat="1">
      <c r="A90" s="1"/>
      <c r="B90" s="1"/>
      <c r="C90" s="26"/>
      <c r="D90" s="26"/>
      <c r="G90" s="1"/>
      <c r="H90" s="1"/>
      <c r="K90" s="1"/>
      <c r="L90" s="1"/>
      <c r="O90" s="1"/>
      <c r="P90" s="1"/>
      <c r="Q90" s="1"/>
    </row>
    <row r="91" spans="1:17" s="10" customFormat="1">
      <c r="A91" s="1"/>
      <c r="B91" s="1"/>
      <c r="C91" s="26"/>
      <c r="D91" s="26"/>
      <c r="G91" s="1"/>
      <c r="H91" s="1"/>
      <c r="K91" s="1"/>
      <c r="L91" s="1"/>
      <c r="O91" s="1"/>
      <c r="P91" s="1"/>
      <c r="Q91" s="1"/>
    </row>
    <row r="92" spans="1:17" s="10" customFormat="1">
      <c r="A92" s="1"/>
      <c r="B92" s="1"/>
      <c r="C92" s="26"/>
      <c r="D92" s="26"/>
      <c r="G92" s="1"/>
      <c r="H92" s="1"/>
      <c r="K92" s="1"/>
      <c r="L92" s="1"/>
      <c r="O92" s="1"/>
      <c r="P92" s="1"/>
      <c r="Q92" s="1"/>
    </row>
    <row r="93" spans="1:17" s="10" customFormat="1">
      <c r="A93" s="1"/>
      <c r="B93" s="1"/>
      <c r="C93" s="26"/>
      <c r="D93" s="26"/>
      <c r="G93" s="1"/>
      <c r="H93" s="1"/>
      <c r="K93" s="1"/>
      <c r="L93" s="1"/>
      <c r="O93" s="1"/>
      <c r="P93" s="1"/>
      <c r="Q93" s="1"/>
    </row>
    <row r="94" spans="1:17" s="10" customFormat="1">
      <c r="A94" s="1"/>
      <c r="B94" s="1"/>
      <c r="C94" s="26"/>
      <c r="D94" s="26"/>
      <c r="G94" s="1"/>
      <c r="H94" s="1"/>
      <c r="K94" s="1"/>
      <c r="L94" s="1"/>
      <c r="O94" s="1"/>
      <c r="P94" s="1"/>
      <c r="Q94" s="1"/>
    </row>
    <row r="95" spans="1:17" s="10" customFormat="1">
      <c r="A95" s="1"/>
      <c r="B95" s="1"/>
      <c r="C95" s="26"/>
      <c r="D95" s="26"/>
      <c r="G95" s="1"/>
      <c r="H95" s="1"/>
      <c r="K95" s="1"/>
      <c r="L95" s="1"/>
      <c r="O95" s="1"/>
      <c r="P95" s="1"/>
      <c r="Q95" s="1"/>
    </row>
    <row r="96" spans="1:17" s="10" customFormat="1">
      <c r="A96" s="1"/>
      <c r="B96" s="1"/>
      <c r="C96" s="26"/>
      <c r="D96" s="26"/>
      <c r="G96" s="1"/>
      <c r="H96" s="1"/>
      <c r="K96" s="1"/>
      <c r="L96" s="1"/>
      <c r="O96" s="1"/>
      <c r="P96" s="1"/>
      <c r="Q96" s="1"/>
    </row>
    <row r="97" spans="1:17" s="10" customFormat="1">
      <c r="A97" s="1"/>
      <c r="B97" s="1"/>
      <c r="C97" s="26"/>
      <c r="D97" s="26"/>
      <c r="G97" s="1"/>
      <c r="H97" s="1"/>
      <c r="K97" s="1"/>
      <c r="L97" s="1"/>
      <c r="O97" s="1"/>
      <c r="P97" s="1"/>
      <c r="Q97" s="1"/>
    </row>
    <row r="98" spans="1:17" s="10" customFormat="1">
      <c r="A98" s="1"/>
      <c r="B98" s="1"/>
      <c r="C98" s="26"/>
      <c r="D98" s="26"/>
      <c r="G98" s="1"/>
      <c r="H98" s="1"/>
      <c r="K98" s="1"/>
      <c r="L98" s="1"/>
      <c r="O98" s="1"/>
      <c r="P98" s="1"/>
      <c r="Q98" s="1"/>
    </row>
    <row r="99" spans="1:17" s="10" customFormat="1">
      <c r="A99" s="1"/>
      <c r="B99" s="1"/>
      <c r="C99" s="26"/>
      <c r="D99" s="26"/>
      <c r="G99" s="1"/>
      <c r="H99" s="1"/>
      <c r="K99" s="1"/>
      <c r="L99" s="1"/>
      <c r="O99" s="1"/>
      <c r="P99" s="1"/>
      <c r="Q99" s="1"/>
    </row>
    <row r="100" spans="1:17" s="10" customFormat="1">
      <c r="A100" s="1"/>
      <c r="B100" s="1"/>
      <c r="C100" s="26"/>
      <c r="D100" s="26"/>
      <c r="G100" s="1"/>
      <c r="H100" s="1"/>
      <c r="K100" s="1"/>
      <c r="L100" s="1"/>
      <c r="O100" s="1"/>
      <c r="P100" s="1"/>
      <c r="Q100" s="1"/>
    </row>
    <row r="101" spans="1:17" s="10" customFormat="1">
      <c r="A101" s="1"/>
      <c r="B101" s="1"/>
      <c r="C101" s="26"/>
      <c r="D101" s="26"/>
      <c r="G101" s="1"/>
      <c r="H101" s="1"/>
      <c r="K101" s="1"/>
      <c r="L101" s="1"/>
      <c r="O101" s="1"/>
      <c r="P101" s="1"/>
      <c r="Q101" s="1"/>
    </row>
    <row r="102" spans="1:17" s="10" customFormat="1">
      <c r="A102" s="1"/>
      <c r="B102" s="1"/>
      <c r="C102" s="26"/>
      <c r="D102" s="26"/>
      <c r="G102" s="1"/>
      <c r="H102" s="1"/>
      <c r="K102" s="1"/>
      <c r="L102" s="1"/>
      <c r="O102" s="1"/>
      <c r="P102" s="1"/>
      <c r="Q102" s="1"/>
    </row>
    <row r="103" spans="1:17" s="10" customFormat="1">
      <c r="A103" s="1"/>
      <c r="B103" s="1"/>
      <c r="C103" s="26"/>
      <c r="D103" s="26"/>
      <c r="G103" s="1"/>
      <c r="H103" s="1"/>
      <c r="K103" s="1"/>
      <c r="L103" s="1"/>
      <c r="O103" s="1"/>
      <c r="P103" s="1"/>
      <c r="Q103" s="1"/>
    </row>
    <row r="104" spans="1:17" s="10" customFormat="1">
      <c r="A104" s="1"/>
      <c r="B104" s="1"/>
      <c r="C104" s="26"/>
      <c r="D104" s="26"/>
      <c r="G104" s="1"/>
      <c r="H104" s="1"/>
      <c r="K104" s="1"/>
      <c r="L104" s="1"/>
      <c r="O104" s="1"/>
      <c r="P104" s="1"/>
      <c r="Q104" s="1"/>
    </row>
    <row r="105" spans="1:17" s="10" customFormat="1">
      <c r="A105" s="1"/>
      <c r="B105" s="1"/>
      <c r="C105" s="26"/>
      <c r="D105" s="26"/>
      <c r="G105" s="1"/>
      <c r="H105" s="1"/>
      <c r="K105" s="1"/>
      <c r="L105" s="1"/>
      <c r="O105" s="1"/>
      <c r="P105" s="1"/>
      <c r="Q105" s="1"/>
    </row>
    <row r="106" spans="1:17" s="10" customFormat="1">
      <c r="A106" s="1"/>
      <c r="B106" s="1"/>
      <c r="C106" s="26"/>
      <c r="D106" s="26"/>
      <c r="G106" s="1"/>
      <c r="H106" s="1"/>
      <c r="K106" s="1"/>
      <c r="L106" s="1"/>
      <c r="O106" s="1"/>
      <c r="P106" s="1"/>
      <c r="Q106" s="1"/>
    </row>
    <row r="107" spans="1:17" s="10" customFormat="1">
      <c r="A107" s="1"/>
      <c r="B107" s="1"/>
      <c r="C107" s="26"/>
      <c r="D107" s="26"/>
      <c r="G107" s="1"/>
      <c r="H107" s="1"/>
      <c r="K107" s="1"/>
      <c r="L107" s="1"/>
      <c r="O107" s="1"/>
      <c r="P107" s="1"/>
      <c r="Q107" s="1"/>
    </row>
    <row r="108" spans="1:17" s="10" customFormat="1">
      <c r="A108" s="1"/>
      <c r="B108" s="1"/>
      <c r="C108" s="26"/>
      <c r="D108" s="26"/>
      <c r="G108" s="1"/>
      <c r="H108" s="1"/>
      <c r="K108" s="1"/>
      <c r="L108" s="1"/>
      <c r="O108" s="1"/>
      <c r="P108" s="1"/>
      <c r="Q108" s="1"/>
    </row>
    <row r="109" spans="1:17" s="10" customFormat="1">
      <c r="A109" s="1"/>
      <c r="B109" s="1"/>
      <c r="C109" s="26"/>
      <c r="D109" s="26"/>
      <c r="G109" s="1"/>
      <c r="H109" s="1"/>
      <c r="K109" s="1"/>
      <c r="L109" s="1"/>
      <c r="O109" s="1"/>
      <c r="P109" s="1"/>
      <c r="Q109" s="1"/>
    </row>
    <row r="110" spans="1:17" s="10" customFormat="1">
      <c r="A110" s="1"/>
      <c r="B110" s="1"/>
      <c r="C110" s="26"/>
      <c r="D110" s="26"/>
      <c r="G110" s="1"/>
      <c r="H110" s="1"/>
      <c r="K110" s="1"/>
      <c r="L110" s="1"/>
      <c r="O110" s="1"/>
      <c r="P110" s="1"/>
      <c r="Q110" s="1"/>
    </row>
    <row r="111" spans="1:17" s="10" customFormat="1">
      <c r="A111" s="1"/>
      <c r="B111" s="1"/>
      <c r="C111" s="26"/>
      <c r="D111" s="26"/>
      <c r="G111" s="1"/>
      <c r="H111" s="1"/>
      <c r="K111" s="1"/>
      <c r="L111" s="1"/>
      <c r="O111" s="1"/>
      <c r="P111" s="1"/>
      <c r="Q111" s="1"/>
    </row>
    <row r="112" spans="1:17" s="10" customFormat="1">
      <c r="A112" s="1"/>
      <c r="B112" s="1"/>
      <c r="C112" s="26"/>
      <c r="D112" s="26"/>
      <c r="G112" s="1"/>
      <c r="H112" s="1"/>
      <c r="K112" s="1"/>
      <c r="L112" s="1"/>
      <c r="O112" s="1"/>
      <c r="P112" s="1"/>
      <c r="Q112" s="1"/>
    </row>
    <row r="113" spans="1:17" s="10" customFormat="1">
      <c r="A113" s="1"/>
      <c r="B113" s="1"/>
      <c r="C113" s="26"/>
      <c r="D113" s="26"/>
      <c r="G113" s="1"/>
      <c r="H113" s="1"/>
      <c r="K113" s="1"/>
      <c r="L113" s="1"/>
      <c r="O113" s="1"/>
      <c r="P113" s="1"/>
      <c r="Q113" s="1"/>
    </row>
    <row r="114" spans="1:17" s="10" customFormat="1">
      <c r="A114" s="1"/>
      <c r="B114" s="1"/>
      <c r="C114" s="26"/>
      <c r="D114" s="26"/>
      <c r="G114" s="1"/>
      <c r="H114" s="1"/>
      <c r="K114" s="1"/>
      <c r="L114" s="1"/>
      <c r="O114" s="1"/>
      <c r="P114" s="1"/>
      <c r="Q114" s="1"/>
    </row>
    <row r="115" spans="1:17" s="10" customFormat="1">
      <c r="A115" s="1"/>
      <c r="B115" s="1"/>
      <c r="C115" s="26"/>
      <c r="D115" s="26"/>
      <c r="G115" s="1"/>
      <c r="H115" s="1"/>
      <c r="K115" s="1"/>
      <c r="L115" s="1"/>
      <c r="O115" s="1"/>
      <c r="P115" s="1"/>
      <c r="Q115" s="1"/>
    </row>
    <row r="116" spans="1:17" s="10" customFormat="1">
      <c r="A116" s="1"/>
      <c r="B116" s="1"/>
      <c r="C116" s="26"/>
      <c r="D116" s="26"/>
      <c r="G116" s="1"/>
      <c r="H116" s="1"/>
      <c r="K116" s="1"/>
      <c r="L116" s="1"/>
      <c r="O116" s="1"/>
      <c r="P116" s="1"/>
      <c r="Q116" s="1"/>
    </row>
    <row r="117" spans="1:17" s="10" customFormat="1">
      <c r="A117" s="1"/>
      <c r="B117" s="1"/>
      <c r="C117" s="26"/>
      <c r="D117" s="26"/>
      <c r="G117" s="1"/>
      <c r="H117" s="1"/>
      <c r="K117" s="1"/>
      <c r="L117" s="1"/>
      <c r="O117" s="1"/>
      <c r="P117" s="1"/>
      <c r="Q117" s="1"/>
    </row>
    <row r="118" spans="1:17" s="10" customFormat="1">
      <c r="A118" s="1"/>
      <c r="B118" s="1"/>
      <c r="C118" s="26"/>
      <c r="D118" s="26"/>
      <c r="G118" s="1"/>
      <c r="H118" s="1"/>
      <c r="K118" s="1"/>
      <c r="L118" s="1"/>
      <c r="O118" s="1"/>
      <c r="P118" s="1"/>
      <c r="Q118" s="1"/>
    </row>
    <row r="119" spans="1:17" s="10" customFormat="1">
      <c r="A119" s="1"/>
      <c r="B119" s="1"/>
      <c r="C119" s="26"/>
      <c r="D119" s="26"/>
      <c r="G119" s="1"/>
      <c r="H119" s="1"/>
      <c r="K119" s="1"/>
      <c r="L119" s="1"/>
      <c r="O119" s="1"/>
      <c r="P119" s="1"/>
      <c r="Q119" s="1"/>
    </row>
    <row r="120" spans="1:17" s="10" customFormat="1">
      <c r="A120" s="1"/>
      <c r="B120" s="1"/>
      <c r="C120" s="26"/>
      <c r="D120" s="26"/>
      <c r="G120" s="1"/>
      <c r="H120" s="1"/>
      <c r="K120" s="1"/>
      <c r="L120" s="1"/>
      <c r="O120" s="1"/>
      <c r="P120" s="1"/>
      <c r="Q120" s="1"/>
    </row>
    <row r="121" spans="1:17" s="10" customFormat="1">
      <c r="A121" s="1"/>
      <c r="B121" s="1"/>
      <c r="C121" s="26"/>
      <c r="D121" s="26"/>
      <c r="G121" s="1"/>
      <c r="H121" s="1"/>
      <c r="K121" s="1"/>
      <c r="L121" s="1"/>
      <c r="O121" s="1"/>
      <c r="P121" s="1"/>
      <c r="Q121" s="1"/>
    </row>
    <row r="122" spans="1:17" s="10" customFormat="1">
      <c r="A122" s="1"/>
      <c r="B122" s="1"/>
      <c r="C122" s="26"/>
      <c r="D122" s="26"/>
      <c r="G122" s="1"/>
      <c r="H122" s="1"/>
      <c r="K122" s="1"/>
      <c r="L122" s="1"/>
      <c r="O122" s="1"/>
      <c r="P122" s="1"/>
      <c r="Q122" s="1"/>
    </row>
    <row r="123" spans="1:17" s="10" customFormat="1">
      <c r="A123" s="1"/>
      <c r="B123" s="1"/>
      <c r="C123" s="26"/>
      <c r="D123" s="26"/>
      <c r="G123" s="1"/>
      <c r="H123" s="1"/>
      <c r="K123" s="1"/>
      <c r="L123" s="1"/>
      <c r="O123" s="1"/>
      <c r="P123" s="1"/>
      <c r="Q123" s="1"/>
    </row>
    <row r="124" spans="1:17" s="10" customFormat="1">
      <c r="A124" s="1"/>
      <c r="B124" s="1"/>
      <c r="C124" s="26"/>
      <c r="D124" s="26"/>
      <c r="G124" s="1"/>
      <c r="H124" s="1"/>
      <c r="K124" s="1"/>
      <c r="L124" s="1"/>
      <c r="O124" s="1"/>
      <c r="P124" s="1"/>
      <c r="Q124" s="1"/>
    </row>
    <row r="125" spans="1:17" s="10" customFormat="1">
      <c r="A125" s="1"/>
      <c r="B125" s="1"/>
      <c r="C125" s="26"/>
      <c r="D125" s="26"/>
      <c r="G125" s="1"/>
      <c r="H125" s="1"/>
      <c r="K125" s="1"/>
      <c r="L125" s="1"/>
      <c r="O125" s="1"/>
      <c r="P125" s="1"/>
      <c r="Q125" s="1"/>
    </row>
    <row r="126" spans="1:17" s="10" customFormat="1">
      <c r="A126" s="1"/>
      <c r="B126" s="1"/>
      <c r="C126" s="26"/>
      <c r="D126" s="26"/>
      <c r="G126" s="1"/>
      <c r="H126" s="1"/>
      <c r="K126" s="1"/>
      <c r="L126" s="1"/>
      <c r="O126" s="1"/>
      <c r="P126" s="1"/>
      <c r="Q126" s="1"/>
    </row>
    <row r="127" spans="1:17" s="10" customFormat="1">
      <c r="A127" s="1"/>
      <c r="B127" s="1"/>
      <c r="C127" s="26"/>
      <c r="D127" s="26"/>
      <c r="G127" s="1"/>
      <c r="H127" s="1"/>
      <c r="K127" s="1"/>
      <c r="L127" s="1"/>
      <c r="O127" s="1"/>
      <c r="P127" s="1"/>
      <c r="Q127" s="1"/>
    </row>
    <row r="128" spans="1:17" s="10" customFormat="1">
      <c r="A128" s="1"/>
      <c r="B128" s="1"/>
      <c r="C128" s="26"/>
      <c r="D128" s="26"/>
      <c r="G128" s="1"/>
      <c r="H128" s="1"/>
      <c r="K128" s="1"/>
      <c r="L128" s="1"/>
      <c r="O128" s="1"/>
      <c r="P128" s="1"/>
      <c r="Q128" s="1"/>
    </row>
    <row r="129" spans="1:17" s="10" customFormat="1">
      <c r="A129" s="1"/>
      <c r="B129" s="1"/>
      <c r="C129" s="26"/>
      <c r="D129" s="26"/>
      <c r="G129" s="1"/>
      <c r="H129" s="1"/>
      <c r="K129" s="1"/>
      <c r="L129" s="1"/>
      <c r="O129" s="1"/>
      <c r="P129" s="1"/>
      <c r="Q129" s="1"/>
    </row>
    <row r="130" spans="1:17" s="10" customFormat="1">
      <c r="A130" s="1"/>
      <c r="B130" s="1"/>
      <c r="C130" s="26"/>
      <c r="D130" s="26"/>
      <c r="G130" s="1"/>
      <c r="H130" s="1"/>
      <c r="K130" s="1"/>
      <c r="L130" s="1"/>
      <c r="O130" s="1"/>
      <c r="P130" s="1"/>
      <c r="Q130" s="1"/>
    </row>
    <row r="131" spans="1:17" s="10" customFormat="1">
      <c r="A131" s="1"/>
      <c r="B131" s="1"/>
      <c r="C131" s="26"/>
      <c r="D131" s="26"/>
      <c r="G131" s="1"/>
      <c r="H131" s="1"/>
      <c r="K131" s="1"/>
      <c r="L131" s="1"/>
      <c r="O131" s="1"/>
      <c r="P131" s="1"/>
      <c r="Q131" s="1"/>
    </row>
    <row r="132" spans="1:17" s="10" customFormat="1">
      <c r="A132" s="1"/>
      <c r="B132" s="1"/>
      <c r="C132" s="26"/>
      <c r="D132" s="26"/>
      <c r="G132" s="1"/>
      <c r="H132" s="1"/>
      <c r="K132" s="1"/>
      <c r="L132" s="1"/>
      <c r="O132" s="1"/>
      <c r="P132" s="1"/>
      <c r="Q132" s="1"/>
    </row>
    <row r="133" spans="1:17" s="10" customFormat="1">
      <c r="A133" s="1"/>
      <c r="B133" s="1"/>
      <c r="C133" s="26"/>
      <c r="D133" s="26"/>
      <c r="G133" s="1"/>
      <c r="H133" s="1"/>
      <c r="K133" s="1"/>
      <c r="L133" s="1"/>
      <c r="O133" s="1"/>
      <c r="P133" s="1"/>
      <c r="Q133" s="1"/>
    </row>
    <row r="134" spans="1:17" s="10" customFormat="1">
      <c r="A134" s="1"/>
      <c r="B134" s="1"/>
      <c r="C134" s="26"/>
      <c r="D134" s="26"/>
      <c r="G134" s="1"/>
      <c r="H134" s="1"/>
      <c r="K134" s="1"/>
      <c r="L134" s="1"/>
      <c r="O134" s="1"/>
      <c r="P134" s="1"/>
      <c r="Q134" s="1"/>
    </row>
    <row r="135" spans="1:17" s="10" customFormat="1">
      <c r="A135" s="1"/>
      <c r="B135" s="1"/>
      <c r="C135" s="26"/>
      <c r="D135" s="26"/>
      <c r="G135" s="1"/>
      <c r="H135" s="1"/>
      <c r="K135" s="1"/>
      <c r="L135" s="1"/>
      <c r="O135" s="1"/>
      <c r="P135" s="1"/>
      <c r="Q135" s="1"/>
    </row>
    <row r="136" spans="1:17" s="10" customFormat="1">
      <c r="A136" s="1"/>
      <c r="B136" s="1"/>
      <c r="C136" s="26"/>
      <c r="D136" s="26"/>
      <c r="G136" s="1"/>
      <c r="H136" s="1"/>
      <c r="K136" s="1"/>
      <c r="L136" s="1"/>
      <c r="O136" s="1"/>
      <c r="P136" s="1"/>
      <c r="Q136" s="1"/>
    </row>
    <row r="137" spans="1:17" s="10" customFormat="1">
      <c r="A137" s="1"/>
      <c r="B137" s="1"/>
      <c r="C137" s="26"/>
      <c r="D137" s="26"/>
      <c r="G137" s="1"/>
      <c r="H137" s="1"/>
      <c r="K137" s="1"/>
      <c r="L137" s="1"/>
      <c r="O137" s="1"/>
      <c r="P137" s="1"/>
      <c r="Q137" s="1"/>
    </row>
    <row r="138" spans="1:17" s="10" customFormat="1">
      <c r="A138" s="1"/>
      <c r="B138" s="1"/>
      <c r="C138" s="26"/>
      <c r="D138" s="26"/>
      <c r="G138" s="1"/>
      <c r="H138" s="1"/>
      <c r="K138" s="1"/>
      <c r="L138" s="1"/>
      <c r="O138" s="1"/>
      <c r="P138" s="1"/>
      <c r="Q138" s="1"/>
    </row>
    <row r="139" spans="1:17" s="10" customFormat="1">
      <c r="A139" s="1"/>
      <c r="B139" s="1"/>
      <c r="C139" s="26"/>
      <c r="D139" s="26"/>
      <c r="G139" s="1"/>
      <c r="H139" s="1"/>
      <c r="K139" s="1"/>
      <c r="L139" s="1"/>
      <c r="O139" s="1"/>
      <c r="P139" s="1"/>
      <c r="Q139" s="1"/>
    </row>
    <row r="140" spans="1:17" s="10" customFormat="1">
      <c r="A140" s="1"/>
      <c r="B140" s="1"/>
      <c r="C140" s="26"/>
      <c r="D140" s="26"/>
      <c r="G140" s="1"/>
      <c r="H140" s="1"/>
      <c r="K140" s="1"/>
      <c r="L140" s="1"/>
      <c r="O140" s="1"/>
      <c r="P140" s="1"/>
      <c r="Q140" s="1"/>
    </row>
    <row r="141" spans="1:17" s="10" customFormat="1">
      <c r="A141" s="1"/>
      <c r="B141" s="1"/>
      <c r="C141" s="26"/>
      <c r="D141" s="26"/>
      <c r="G141" s="1"/>
      <c r="H141" s="1"/>
      <c r="K141" s="1"/>
      <c r="L141" s="1"/>
      <c r="O141" s="1"/>
      <c r="P141" s="1"/>
      <c r="Q141" s="1"/>
    </row>
    <row r="142" spans="1:17" s="10" customFormat="1">
      <c r="A142" s="1"/>
      <c r="B142" s="1"/>
      <c r="C142" s="26"/>
      <c r="D142" s="26"/>
      <c r="G142" s="1"/>
      <c r="H142" s="1"/>
      <c r="K142" s="1"/>
      <c r="L142" s="1"/>
      <c r="O142" s="1"/>
      <c r="P142" s="1"/>
      <c r="Q142" s="1"/>
    </row>
    <row r="143" spans="1:17" s="10" customFormat="1">
      <c r="A143" s="1"/>
      <c r="B143" s="1"/>
      <c r="C143" s="26"/>
      <c r="D143" s="26"/>
      <c r="G143" s="1"/>
      <c r="H143" s="1"/>
      <c r="K143" s="1"/>
      <c r="L143" s="1"/>
      <c r="O143" s="1"/>
      <c r="P143" s="1"/>
      <c r="Q143" s="1"/>
    </row>
    <row r="144" spans="1:17" s="10" customFormat="1">
      <c r="A144" s="1"/>
      <c r="B144" s="1"/>
      <c r="C144" s="26"/>
      <c r="D144" s="26"/>
      <c r="G144" s="1"/>
      <c r="H144" s="1"/>
      <c r="K144" s="1"/>
      <c r="L144" s="1"/>
      <c r="O144" s="1"/>
      <c r="P144" s="1"/>
      <c r="Q144" s="1"/>
    </row>
    <row r="145" spans="1:17" s="10" customFormat="1">
      <c r="A145" s="1"/>
      <c r="B145" s="1"/>
      <c r="C145" s="26"/>
      <c r="D145" s="26"/>
      <c r="G145" s="1"/>
      <c r="H145" s="1"/>
      <c r="K145" s="1"/>
      <c r="L145" s="1"/>
      <c r="O145" s="1"/>
      <c r="P145" s="1"/>
      <c r="Q145" s="1"/>
    </row>
    <row r="146" spans="1:17" s="10" customFormat="1">
      <c r="A146" s="1"/>
      <c r="B146" s="1"/>
      <c r="C146" s="26"/>
      <c r="D146" s="26"/>
      <c r="G146" s="1"/>
      <c r="H146" s="1"/>
      <c r="K146" s="1"/>
      <c r="L146" s="1"/>
      <c r="O146" s="1"/>
      <c r="P146" s="1"/>
      <c r="Q146" s="1"/>
    </row>
    <row r="147" spans="1:17" s="10" customFormat="1">
      <c r="A147" s="1"/>
      <c r="B147" s="1"/>
      <c r="C147" s="26"/>
      <c r="D147" s="26"/>
      <c r="G147" s="1"/>
      <c r="H147" s="1"/>
      <c r="K147" s="1"/>
      <c r="L147" s="1"/>
      <c r="O147" s="1"/>
      <c r="P147" s="1"/>
      <c r="Q147" s="1"/>
    </row>
    <row r="148" spans="1:17" s="10" customFormat="1">
      <c r="A148" s="1"/>
      <c r="B148" s="1"/>
      <c r="C148" s="26"/>
      <c r="D148" s="26"/>
      <c r="G148" s="1"/>
      <c r="H148" s="1"/>
      <c r="K148" s="1"/>
      <c r="L148" s="1"/>
      <c r="O148" s="1"/>
      <c r="P148" s="1"/>
      <c r="Q148" s="1"/>
    </row>
    <row r="149" spans="1:17" s="10" customFormat="1">
      <c r="A149" s="1"/>
      <c r="B149" s="1"/>
      <c r="C149" s="26"/>
      <c r="D149" s="26"/>
      <c r="G149" s="1"/>
      <c r="H149" s="1"/>
      <c r="K149" s="1"/>
      <c r="L149" s="1"/>
      <c r="O149" s="1"/>
      <c r="P149" s="1"/>
      <c r="Q149" s="1"/>
    </row>
    <row r="150" spans="1:17" s="10" customFormat="1">
      <c r="A150" s="1"/>
      <c r="B150" s="1"/>
      <c r="C150" s="26"/>
      <c r="D150" s="26"/>
      <c r="G150" s="1"/>
      <c r="H150" s="1"/>
      <c r="K150" s="1"/>
      <c r="L150" s="1"/>
      <c r="O150" s="1"/>
      <c r="P150" s="1"/>
      <c r="Q150" s="1"/>
    </row>
    <row r="151" spans="1:17" s="10" customFormat="1">
      <c r="A151" s="1"/>
      <c r="B151" s="1"/>
      <c r="C151" s="26"/>
      <c r="D151" s="26"/>
      <c r="G151" s="1"/>
      <c r="H151" s="1"/>
      <c r="K151" s="1"/>
      <c r="L151" s="1"/>
      <c r="O151" s="1"/>
      <c r="P151" s="1"/>
      <c r="Q151" s="1"/>
    </row>
    <row r="152" spans="1:17" s="10" customFormat="1">
      <c r="A152" s="1"/>
      <c r="B152" s="1"/>
      <c r="C152" s="26"/>
      <c r="D152" s="26"/>
      <c r="G152" s="1"/>
      <c r="H152" s="1"/>
      <c r="K152" s="1"/>
      <c r="L152" s="1"/>
      <c r="O152" s="1"/>
      <c r="P152" s="1"/>
      <c r="Q152" s="1"/>
    </row>
    <row r="153" spans="1:17" s="10" customFormat="1">
      <c r="A153" s="1"/>
      <c r="B153" s="1"/>
      <c r="C153" s="26"/>
      <c r="D153" s="26"/>
      <c r="G153" s="1"/>
      <c r="H153" s="1"/>
      <c r="K153" s="1"/>
      <c r="L153" s="1"/>
      <c r="O153" s="1"/>
      <c r="P153" s="1"/>
      <c r="Q153" s="1"/>
    </row>
    <row r="154" spans="1:17" s="10" customFormat="1">
      <c r="A154" s="1"/>
      <c r="B154" s="1"/>
      <c r="C154" s="26"/>
      <c r="D154" s="26"/>
      <c r="G154" s="1"/>
      <c r="H154" s="1"/>
      <c r="K154" s="1"/>
      <c r="L154" s="1"/>
      <c r="O154" s="1"/>
      <c r="P154" s="1"/>
      <c r="Q154" s="1"/>
    </row>
    <row r="155" spans="1:17" s="10" customFormat="1">
      <c r="A155" s="1"/>
      <c r="B155" s="1"/>
      <c r="C155" s="26"/>
      <c r="D155" s="26"/>
      <c r="G155" s="1"/>
      <c r="H155" s="1"/>
      <c r="K155" s="1"/>
      <c r="L155" s="1"/>
      <c r="O155" s="1"/>
      <c r="P155" s="1"/>
      <c r="Q155" s="1"/>
    </row>
    <row r="156" spans="1:17" s="10" customFormat="1">
      <c r="A156" s="1"/>
      <c r="B156" s="1"/>
      <c r="C156" s="26"/>
      <c r="D156" s="26"/>
      <c r="G156" s="1"/>
      <c r="H156" s="1"/>
      <c r="K156" s="1"/>
      <c r="L156" s="1"/>
      <c r="O156" s="1"/>
      <c r="P156" s="1"/>
      <c r="Q156" s="1"/>
    </row>
    <row r="157" spans="1:17" s="10" customFormat="1">
      <c r="A157" s="1"/>
      <c r="B157" s="1"/>
      <c r="C157" s="26"/>
      <c r="D157" s="26"/>
      <c r="G157" s="1"/>
      <c r="H157" s="1"/>
      <c r="K157" s="1"/>
      <c r="L157" s="1"/>
      <c r="O157" s="1"/>
      <c r="P157" s="1"/>
      <c r="Q157" s="1"/>
    </row>
    <row r="158" spans="1:17" s="10" customFormat="1">
      <c r="A158" s="1"/>
      <c r="B158" s="1"/>
      <c r="C158" s="26"/>
      <c r="D158" s="26"/>
      <c r="G158" s="1"/>
      <c r="H158" s="1"/>
      <c r="K158" s="1"/>
      <c r="L158" s="1"/>
      <c r="O158" s="1"/>
      <c r="P158" s="1"/>
      <c r="Q158" s="1"/>
    </row>
    <row r="159" spans="1:17" s="10" customFormat="1">
      <c r="A159" s="1"/>
      <c r="B159" s="1"/>
      <c r="C159" s="26"/>
      <c r="D159" s="26"/>
      <c r="G159" s="1"/>
      <c r="H159" s="1"/>
      <c r="K159" s="1"/>
      <c r="L159" s="1"/>
      <c r="O159" s="1"/>
      <c r="P159" s="1"/>
      <c r="Q159" s="1"/>
    </row>
    <row r="160" spans="1:17" s="10" customFormat="1">
      <c r="A160" s="1"/>
      <c r="B160" s="1"/>
      <c r="C160" s="26"/>
      <c r="D160" s="26"/>
      <c r="G160" s="1"/>
      <c r="H160" s="1"/>
      <c r="K160" s="1"/>
      <c r="L160" s="1"/>
      <c r="O160" s="1"/>
      <c r="P160" s="1"/>
      <c r="Q160" s="1"/>
    </row>
    <row r="161" spans="1:17" s="10" customFormat="1">
      <c r="A161" s="1"/>
      <c r="B161" s="1"/>
      <c r="C161" s="26"/>
      <c r="D161" s="26"/>
      <c r="G161" s="1"/>
      <c r="H161" s="1"/>
      <c r="K161" s="1"/>
      <c r="L161" s="1"/>
      <c r="O161" s="1"/>
      <c r="P161" s="1"/>
      <c r="Q161" s="1"/>
    </row>
    <row r="162" spans="1:17" s="10" customFormat="1">
      <c r="A162" s="1"/>
      <c r="B162" s="1"/>
      <c r="C162" s="26"/>
      <c r="D162" s="26"/>
      <c r="G162" s="1"/>
      <c r="H162" s="1"/>
      <c r="K162" s="1"/>
      <c r="L162" s="1"/>
      <c r="O162" s="1"/>
      <c r="P162" s="1"/>
      <c r="Q162" s="1"/>
    </row>
    <row r="163" spans="1:17" s="10" customFormat="1">
      <c r="A163" s="1"/>
      <c r="B163" s="1"/>
      <c r="C163" s="26"/>
      <c r="D163" s="26"/>
      <c r="G163" s="1"/>
      <c r="H163" s="1"/>
      <c r="K163" s="1"/>
      <c r="L163" s="1"/>
      <c r="O163" s="1"/>
      <c r="P163" s="1"/>
      <c r="Q163" s="1"/>
    </row>
    <row r="164" spans="1:17" s="10" customFormat="1">
      <c r="A164" s="1"/>
      <c r="B164" s="1"/>
      <c r="C164" s="26"/>
      <c r="D164" s="26"/>
      <c r="G164" s="1"/>
      <c r="H164" s="1"/>
      <c r="K164" s="1"/>
      <c r="L164" s="1"/>
      <c r="O164" s="1"/>
      <c r="P164" s="1"/>
      <c r="Q164" s="1"/>
    </row>
    <row r="165" spans="1:17" s="10" customFormat="1">
      <c r="A165" s="1"/>
      <c r="B165" s="1"/>
      <c r="C165" s="26"/>
      <c r="D165" s="26"/>
      <c r="G165" s="1"/>
      <c r="H165" s="1"/>
      <c r="K165" s="1"/>
      <c r="L165" s="1"/>
      <c r="O165" s="1"/>
      <c r="P165" s="1"/>
      <c r="Q165" s="1"/>
    </row>
    <row r="166" spans="1:17" s="10" customFormat="1">
      <c r="A166" s="1"/>
      <c r="B166" s="1"/>
      <c r="C166" s="26"/>
      <c r="D166" s="26"/>
      <c r="G166" s="1"/>
      <c r="H166" s="1"/>
      <c r="K166" s="1"/>
      <c r="L166" s="1"/>
      <c r="O166" s="1"/>
      <c r="P166" s="1"/>
      <c r="Q166" s="1"/>
    </row>
    <row r="167" spans="1:17" s="10" customFormat="1">
      <c r="A167" s="1"/>
      <c r="B167" s="1"/>
      <c r="C167" s="26"/>
      <c r="D167" s="26"/>
      <c r="G167" s="1"/>
      <c r="H167" s="1"/>
      <c r="K167" s="1"/>
      <c r="L167" s="1"/>
      <c r="O167" s="1"/>
      <c r="P167" s="1"/>
      <c r="Q167" s="1"/>
    </row>
    <row r="168" spans="1:17" s="10" customFormat="1">
      <c r="A168" s="1"/>
      <c r="B168" s="1"/>
      <c r="C168" s="26"/>
      <c r="D168" s="26"/>
      <c r="G168" s="1"/>
      <c r="H168" s="1"/>
      <c r="K168" s="1"/>
      <c r="L168" s="1"/>
      <c r="O168" s="1"/>
      <c r="P168" s="1"/>
      <c r="Q168" s="1"/>
    </row>
    <row r="169" spans="1:17" s="10" customFormat="1">
      <c r="A169" s="1"/>
      <c r="B169" s="1"/>
      <c r="C169" s="26"/>
      <c r="D169" s="26"/>
      <c r="G169" s="1"/>
      <c r="H169" s="1"/>
      <c r="K169" s="1"/>
      <c r="L169" s="1"/>
      <c r="O169" s="1"/>
      <c r="P169" s="1"/>
      <c r="Q169" s="1"/>
    </row>
  </sheetData>
  <mergeCells count="161">
    <mergeCell ref="C1:D1"/>
    <mergeCell ref="C2:D2"/>
    <mergeCell ref="C3:D3"/>
    <mergeCell ref="C4:D4"/>
    <mergeCell ref="C5:D5"/>
    <mergeCell ref="C6:D6"/>
    <mergeCell ref="C13:D13"/>
    <mergeCell ref="C15:D15"/>
    <mergeCell ref="C16:D16"/>
    <mergeCell ref="C17:D17"/>
    <mergeCell ref="C18:D18"/>
    <mergeCell ref="C19:D19"/>
    <mergeCell ref="C7:D7"/>
    <mergeCell ref="C8:D8"/>
    <mergeCell ref="C9:D9"/>
    <mergeCell ref="C10:D10"/>
    <mergeCell ref="C11:D11"/>
    <mergeCell ref="C12:D12"/>
    <mergeCell ref="C26:D26"/>
    <mergeCell ref="C34:D34"/>
    <mergeCell ref="C35:D35"/>
    <mergeCell ref="C36:D36"/>
    <mergeCell ref="C37:D37"/>
    <mergeCell ref="C38:D38"/>
    <mergeCell ref="C20:D20"/>
    <mergeCell ref="C21:D21"/>
    <mergeCell ref="C22:D22"/>
    <mergeCell ref="C23:D23"/>
    <mergeCell ref="C24:D24"/>
    <mergeCell ref="C25:D25"/>
    <mergeCell ref="C45:D45"/>
    <mergeCell ref="C46:D46"/>
    <mergeCell ref="C47:D47"/>
    <mergeCell ref="C48:D48"/>
    <mergeCell ref="C49:D49"/>
    <mergeCell ref="C50:D50"/>
    <mergeCell ref="C39:D39"/>
    <mergeCell ref="C40:D40"/>
    <mergeCell ref="C41:D41"/>
    <mergeCell ref="C42:D42"/>
    <mergeCell ref="C43:D43"/>
    <mergeCell ref="C44:D44"/>
    <mergeCell ref="C57:D57"/>
    <mergeCell ref="C58:D58"/>
    <mergeCell ref="C59:D59"/>
    <mergeCell ref="C60:D60"/>
    <mergeCell ref="C61:D61"/>
    <mergeCell ref="C62:D62"/>
    <mergeCell ref="C51:D51"/>
    <mergeCell ref="C52:D52"/>
    <mergeCell ref="C53:D53"/>
    <mergeCell ref="C54:D54"/>
    <mergeCell ref="C55:D55"/>
    <mergeCell ref="C56:D56"/>
    <mergeCell ref="C69:D69"/>
    <mergeCell ref="C70:D70"/>
    <mergeCell ref="C71:D71"/>
    <mergeCell ref="C72:D72"/>
    <mergeCell ref="C73:D73"/>
    <mergeCell ref="C74:D74"/>
    <mergeCell ref="C63:D63"/>
    <mergeCell ref="C64:D64"/>
    <mergeCell ref="C65:D65"/>
    <mergeCell ref="C66:D66"/>
    <mergeCell ref="C67:D67"/>
    <mergeCell ref="C68:D68"/>
    <mergeCell ref="C81:D81"/>
    <mergeCell ref="C82:D82"/>
    <mergeCell ref="C83:D83"/>
    <mergeCell ref="C84:D84"/>
    <mergeCell ref="C85:D85"/>
    <mergeCell ref="C86:D86"/>
    <mergeCell ref="C75:D75"/>
    <mergeCell ref="C76:D76"/>
    <mergeCell ref="C77:D77"/>
    <mergeCell ref="C78:D78"/>
    <mergeCell ref="C79:D79"/>
    <mergeCell ref="C80:D80"/>
    <mergeCell ref="C93:D93"/>
    <mergeCell ref="C94:D94"/>
    <mergeCell ref="C95:D95"/>
    <mergeCell ref="C96:D96"/>
    <mergeCell ref="C97:D97"/>
    <mergeCell ref="C98:D98"/>
    <mergeCell ref="C87:D87"/>
    <mergeCell ref="C88:D88"/>
    <mergeCell ref="C89:D89"/>
    <mergeCell ref="C90:D90"/>
    <mergeCell ref="C91:D91"/>
    <mergeCell ref="C92:D92"/>
    <mergeCell ref="C105:D105"/>
    <mergeCell ref="C106:D106"/>
    <mergeCell ref="C107:D107"/>
    <mergeCell ref="C108:D108"/>
    <mergeCell ref="C109:D109"/>
    <mergeCell ref="C110:D110"/>
    <mergeCell ref="C99:D99"/>
    <mergeCell ref="C100:D100"/>
    <mergeCell ref="C101:D101"/>
    <mergeCell ref="C102:D102"/>
    <mergeCell ref="C103:D103"/>
    <mergeCell ref="C104:D104"/>
    <mergeCell ref="C117:D117"/>
    <mergeCell ref="C118:D118"/>
    <mergeCell ref="C119:D119"/>
    <mergeCell ref="C120:D120"/>
    <mergeCell ref="C121:D121"/>
    <mergeCell ref="C122:D122"/>
    <mergeCell ref="C111:D111"/>
    <mergeCell ref="C112:D112"/>
    <mergeCell ref="C113:D113"/>
    <mergeCell ref="C114:D114"/>
    <mergeCell ref="C115:D115"/>
    <mergeCell ref="C116:D116"/>
    <mergeCell ref="C129:D129"/>
    <mergeCell ref="C130:D130"/>
    <mergeCell ref="C131:D131"/>
    <mergeCell ref="C132:D132"/>
    <mergeCell ref="C133:D133"/>
    <mergeCell ref="C134:D134"/>
    <mergeCell ref="C123:D123"/>
    <mergeCell ref="C124:D124"/>
    <mergeCell ref="C125:D125"/>
    <mergeCell ref="C126:D126"/>
    <mergeCell ref="C127:D127"/>
    <mergeCell ref="C128:D128"/>
    <mergeCell ref="C141:D141"/>
    <mergeCell ref="C142:D142"/>
    <mergeCell ref="C143:D143"/>
    <mergeCell ref="C144:D144"/>
    <mergeCell ref="C145:D145"/>
    <mergeCell ref="C146:D146"/>
    <mergeCell ref="C135:D135"/>
    <mergeCell ref="C136:D136"/>
    <mergeCell ref="C137:D137"/>
    <mergeCell ref="C138:D138"/>
    <mergeCell ref="C139:D139"/>
    <mergeCell ref="C140:D140"/>
    <mergeCell ref="C153:D153"/>
    <mergeCell ref="C154:D154"/>
    <mergeCell ref="C155:D155"/>
    <mergeCell ref="C156:D156"/>
    <mergeCell ref="C157:D157"/>
    <mergeCell ref="C158:D158"/>
    <mergeCell ref="C147:D147"/>
    <mergeCell ref="C148:D148"/>
    <mergeCell ref="C149:D149"/>
    <mergeCell ref="C150:D150"/>
    <mergeCell ref="C151:D151"/>
    <mergeCell ref="C152:D152"/>
    <mergeCell ref="C165:D165"/>
    <mergeCell ref="C166:D166"/>
    <mergeCell ref="C167:D167"/>
    <mergeCell ref="C168:D168"/>
    <mergeCell ref="C169:D169"/>
    <mergeCell ref="C159:D159"/>
    <mergeCell ref="C160:D160"/>
    <mergeCell ref="C161:D161"/>
    <mergeCell ref="C162:D162"/>
    <mergeCell ref="C163:D163"/>
    <mergeCell ref="C164:D164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C1F8B-2088-4401-B897-41C262CBC71F}">
  <dimension ref="A4:L32"/>
  <sheetViews>
    <sheetView topLeftCell="A25" zoomScale="85" zoomScaleNormal="85" workbookViewId="0">
      <selection activeCell="C1" sqref="C1:C1048576"/>
    </sheetView>
  </sheetViews>
  <sheetFormatPr defaultRowHeight="22.9"/>
  <cols>
    <col min="1" max="16384" width="8.6640625" style="1"/>
  </cols>
  <sheetData>
    <row r="4" spans="1:12" ht="23.25">
      <c r="A4" s="16"/>
      <c r="B4" s="29" t="s">
        <v>249</v>
      </c>
      <c r="C4" s="29"/>
      <c r="D4" s="29"/>
      <c r="E4" s="16"/>
      <c r="F4" s="16"/>
      <c r="G4" s="16"/>
      <c r="H4" s="16"/>
      <c r="I4" s="16"/>
      <c r="J4" s="16"/>
    </row>
    <row r="5" spans="1:12" ht="23.25">
      <c r="A5" s="19" t="s">
        <v>251</v>
      </c>
      <c r="B5" s="18"/>
      <c r="C5" s="18"/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/>
      <c r="L5" s="1">
        <f>55-37</f>
        <v>18</v>
      </c>
    </row>
    <row r="6" spans="1:12" ht="23.25">
      <c r="A6" s="18" t="s">
        <v>252</v>
      </c>
      <c r="B6" s="18"/>
      <c r="C6" s="18"/>
      <c r="D6" s="16">
        <v>114</v>
      </c>
      <c r="E6" s="16">
        <v>101</v>
      </c>
      <c r="F6" s="16">
        <v>104</v>
      </c>
      <c r="G6" s="16">
        <v>104</v>
      </c>
      <c r="H6" s="16">
        <v>212</v>
      </c>
      <c r="I6" s="16">
        <v>107</v>
      </c>
      <c r="J6" s="16"/>
      <c r="L6" s="1">
        <v>18</v>
      </c>
    </row>
    <row r="7" spans="1:12" ht="23.25">
      <c r="A7" s="18" t="s">
        <v>253</v>
      </c>
      <c r="B7" s="18"/>
      <c r="C7" s="18"/>
      <c r="D7" s="16">
        <v>114</v>
      </c>
      <c r="E7" s="16">
        <v>101</v>
      </c>
      <c r="F7" s="16">
        <v>104</v>
      </c>
      <c r="G7" s="16">
        <v>104</v>
      </c>
      <c r="H7" s="16">
        <v>157</v>
      </c>
      <c r="I7" s="16">
        <v>162</v>
      </c>
      <c r="J7" s="16"/>
      <c r="L7" s="1">
        <v>5</v>
      </c>
    </row>
    <row r="8" spans="1:12" ht="23.25">
      <c r="A8" s="18" t="s">
        <v>227</v>
      </c>
      <c r="B8" s="18"/>
      <c r="C8" s="18"/>
      <c r="D8" s="16">
        <v>207</v>
      </c>
      <c r="E8" s="16">
        <v>102</v>
      </c>
      <c r="F8" s="16">
        <v>105</v>
      </c>
      <c r="G8" s="16">
        <v>105</v>
      </c>
      <c r="H8" s="16">
        <v>118</v>
      </c>
      <c r="I8" s="16">
        <v>108</v>
      </c>
      <c r="J8" s="16" t="s">
        <v>226</v>
      </c>
    </row>
    <row r="9" spans="1:12" ht="23.25">
      <c r="A9" s="18" t="s">
        <v>228</v>
      </c>
      <c r="B9" s="18"/>
      <c r="C9" s="18"/>
      <c r="D9" s="16">
        <v>102</v>
      </c>
      <c r="E9" s="16">
        <v>207</v>
      </c>
      <c r="F9" s="16">
        <v>105</v>
      </c>
      <c r="G9" s="16">
        <v>105</v>
      </c>
      <c r="H9" s="16">
        <v>118</v>
      </c>
      <c r="I9" s="16">
        <v>108</v>
      </c>
      <c r="J9" s="16" t="s">
        <v>226</v>
      </c>
      <c r="L9" s="1">
        <v>10</v>
      </c>
    </row>
    <row r="10" spans="1:12" ht="23.25">
      <c r="A10" s="18" t="s">
        <v>254</v>
      </c>
      <c r="B10" s="18"/>
      <c r="C10" s="18"/>
      <c r="D10" s="16">
        <v>191</v>
      </c>
      <c r="E10" s="16">
        <v>122</v>
      </c>
      <c r="F10" s="16">
        <v>105</v>
      </c>
      <c r="G10" s="16">
        <v>105</v>
      </c>
      <c r="H10" s="16">
        <v>118</v>
      </c>
      <c r="I10" s="16">
        <v>108</v>
      </c>
      <c r="J10" s="16" t="s">
        <v>226</v>
      </c>
    </row>
    <row r="11" spans="1:12" ht="23.25">
      <c r="A11" s="18" t="s">
        <v>229</v>
      </c>
      <c r="B11" s="18"/>
      <c r="C11" s="18"/>
      <c r="D11" s="16">
        <v>114</v>
      </c>
      <c r="E11" s="16">
        <v>101</v>
      </c>
      <c r="F11" s="16">
        <v>104</v>
      </c>
      <c r="G11" s="16">
        <v>104</v>
      </c>
      <c r="H11" s="16">
        <v>212</v>
      </c>
      <c r="I11" s="16">
        <v>107</v>
      </c>
      <c r="J11" s="16" t="s">
        <v>226</v>
      </c>
    </row>
    <row r="12" spans="1:12" ht="23.25">
      <c r="A12" s="18" t="s">
        <v>230</v>
      </c>
      <c r="B12" s="18"/>
      <c r="C12" s="18"/>
      <c r="D12" s="16">
        <v>115</v>
      </c>
      <c r="E12" s="16">
        <v>102</v>
      </c>
      <c r="F12" s="16">
        <v>188</v>
      </c>
      <c r="G12" s="16">
        <v>116</v>
      </c>
      <c r="H12" s="16">
        <v>118</v>
      </c>
      <c r="I12" s="16">
        <v>108</v>
      </c>
      <c r="J12" s="16" t="s">
        <v>226</v>
      </c>
    </row>
    <row r="13" spans="1:12" ht="23.25">
      <c r="A13" s="18" t="s">
        <v>231</v>
      </c>
      <c r="B13" s="18"/>
      <c r="C13" s="18"/>
      <c r="D13" s="16">
        <v>115</v>
      </c>
      <c r="E13" s="16">
        <v>102</v>
      </c>
      <c r="F13" s="16">
        <v>131</v>
      </c>
      <c r="G13" s="16">
        <v>176</v>
      </c>
      <c r="H13" s="16">
        <v>118</v>
      </c>
      <c r="I13" s="16">
        <v>108</v>
      </c>
      <c r="J13" s="16" t="s">
        <v>226</v>
      </c>
    </row>
    <row r="14" spans="1:12" ht="23.25">
      <c r="A14" s="18" t="s">
        <v>233</v>
      </c>
      <c r="B14" s="18"/>
      <c r="C14" s="18"/>
      <c r="D14" s="16">
        <v>114</v>
      </c>
      <c r="E14" s="16">
        <v>101</v>
      </c>
      <c r="F14" s="16">
        <v>104</v>
      </c>
      <c r="G14" s="16">
        <v>104</v>
      </c>
      <c r="H14" s="16">
        <v>204</v>
      </c>
      <c r="I14" s="16">
        <v>107</v>
      </c>
      <c r="J14" s="16"/>
    </row>
    <row r="15" spans="1:12" ht="23.25">
      <c r="A15" s="18" t="s">
        <v>232</v>
      </c>
      <c r="B15" s="18"/>
      <c r="C15" s="18"/>
      <c r="D15" s="16">
        <v>114</v>
      </c>
      <c r="E15" s="16">
        <v>101</v>
      </c>
      <c r="F15" s="16">
        <v>104</v>
      </c>
      <c r="G15" s="16">
        <v>104</v>
      </c>
      <c r="H15" s="16">
        <v>149</v>
      </c>
      <c r="I15" s="16">
        <v>162</v>
      </c>
      <c r="J15" s="16"/>
    </row>
    <row r="16" spans="1:12">
      <c r="A16" s="19"/>
      <c r="B16" s="19"/>
      <c r="C16" s="19"/>
      <c r="D16" s="16"/>
      <c r="E16" s="16"/>
      <c r="F16" s="16"/>
      <c r="G16" s="16"/>
      <c r="H16" s="16"/>
      <c r="I16" s="16"/>
      <c r="J16" s="16"/>
    </row>
    <row r="17" spans="1:10">
      <c r="A17" s="19"/>
      <c r="B17" s="19"/>
      <c r="C17" s="19"/>
      <c r="D17" s="16"/>
      <c r="E17" s="16"/>
      <c r="F17" s="16"/>
      <c r="G17" s="16"/>
      <c r="H17" s="16"/>
      <c r="I17" s="16"/>
      <c r="J17" s="16"/>
    </row>
    <row r="19" spans="1:10" ht="23.25">
      <c r="A19" s="20"/>
      <c r="B19" s="55" t="s">
        <v>238</v>
      </c>
      <c r="C19" s="55"/>
      <c r="D19" s="55"/>
      <c r="E19" s="20"/>
      <c r="F19" s="20"/>
      <c r="G19" s="20"/>
      <c r="H19" s="20"/>
      <c r="I19" s="20"/>
      <c r="J19" s="20"/>
    </row>
    <row r="20" spans="1:10">
      <c r="A20" s="20"/>
      <c r="B20" s="20"/>
      <c r="C20" s="20"/>
      <c r="D20" s="20"/>
      <c r="E20" s="20"/>
      <c r="F20" s="20"/>
      <c r="G20" s="20"/>
      <c r="H20" s="20"/>
      <c r="I20" s="20"/>
      <c r="J20" s="20"/>
    </row>
    <row r="21" spans="1:10" ht="23.25">
      <c r="A21" s="20"/>
      <c r="B21" s="55" t="s">
        <v>255</v>
      </c>
      <c r="C21" s="55"/>
      <c r="D21" s="20">
        <f t="shared" ref="D21:I21" si="0">D7+20</f>
        <v>134</v>
      </c>
      <c r="E21" s="20">
        <f t="shared" si="0"/>
        <v>121</v>
      </c>
      <c r="F21" s="20">
        <f t="shared" si="0"/>
        <v>124</v>
      </c>
      <c r="G21" s="20">
        <f t="shared" si="0"/>
        <v>124</v>
      </c>
      <c r="H21" s="20">
        <f t="shared" si="0"/>
        <v>177</v>
      </c>
      <c r="I21" s="20">
        <f t="shared" si="0"/>
        <v>182</v>
      </c>
      <c r="J21" s="20"/>
    </row>
    <row r="22" spans="1:10" ht="23.25">
      <c r="A22" s="20"/>
      <c r="B22" s="55" t="s">
        <v>256</v>
      </c>
      <c r="C22" s="55"/>
      <c r="D22" s="20">
        <f t="shared" ref="D22:I22" si="1">D6+20</f>
        <v>134</v>
      </c>
      <c r="E22" s="20">
        <f t="shared" si="1"/>
        <v>121</v>
      </c>
      <c r="F22" s="20">
        <f t="shared" si="1"/>
        <v>124</v>
      </c>
      <c r="G22" s="20">
        <f t="shared" si="1"/>
        <v>124</v>
      </c>
      <c r="H22" s="20">
        <f t="shared" si="1"/>
        <v>232</v>
      </c>
      <c r="I22" s="20">
        <f t="shared" si="1"/>
        <v>127</v>
      </c>
      <c r="J22" s="20"/>
    </row>
    <row r="23" spans="1:10" ht="23.25">
      <c r="A23" s="20"/>
      <c r="B23" s="55" t="s">
        <v>239</v>
      </c>
      <c r="C23" s="55"/>
      <c r="D23" s="20">
        <f t="shared" ref="D23:I28" si="2">D8+20</f>
        <v>227</v>
      </c>
      <c r="E23" s="20">
        <f t="shared" si="2"/>
        <v>122</v>
      </c>
      <c r="F23" s="20">
        <f t="shared" si="2"/>
        <v>125</v>
      </c>
      <c r="G23" s="20">
        <f t="shared" si="2"/>
        <v>125</v>
      </c>
      <c r="H23" s="20">
        <f t="shared" si="2"/>
        <v>138</v>
      </c>
      <c r="I23" s="20">
        <f t="shared" si="2"/>
        <v>128</v>
      </c>
      <c r="J23" s="20" t="s">
        <v>226</v>
      </c>
    </row>
    <row r="24" spans="1:10" ht="23.25">
      <c r="A24" s="20"/>
      <c r="B24" s="55" t="s">
        <v>240</v>
      </c>
      <c r="C24" s="55"/>
      <c r="D24" s="20">
        <f t="shared" si="2"/>
        <v>122</v>
      </c>
      <c r="E24" s="20">
        <f t="shared" si="2"/>
        <v>227</v>
      </c>
      <c r="F24" s="20">
        <f t="shared" si="2"/>
        <v>125</v>
      </c>
      <c r="G24" s="20">
        <f t="shared" si="2"/>
        <v>125</v>
      </c>
      <c r="H24" s="20">
        <f t="shared" si="2"/>
        <v>138</v>
      </c>
      <c r="I24" s="20">
        <f t="shared" si="2"/>
        <v>128</v>
      </c>
      <c r="J24" s="20" t="s">
        <v>226</v>
      </c>
    </row>
    <row r="25" spans="1:10" ht="23.25">
      <c r="A25" s="20"/>
      <c r="B25" s="55" t="s">
        <v>257</v>
      </c>
      <c r="C25" s="55"/>
      <c r="D25" s="20">
        <f t="shared" si="2"/>
        <v>211</v>
      </c>
      <c r="E25" s="20">
        <f t="shared" si="2"/>
        <v>142</v>
      </c>
      <c r="F25" s="20">
        <f t="shared" si="2"/>
        <v>125</v>
      </c>
      <c r="G25" s="20">
        <f t="shared" si="2"/>
        <v>125</v>
      </c>
      <c r="H25" s="20">
        <f t="shared" si="2"/>
        <v>138</v>
      </c>
      <c r="I25" s="20">
        <f t="shared" si="2"/>
        <v>128</v>
      </c>
      <c r="J25" s="20" t="s">
        <v>226</v>
      </c>
    </row>
    <row r="26" spans="1:10" ht="23.25">
      <c r="A26" s="20"/>
      <c r="B26" s="55" t="s">
        <v>241</v>
      </c>
      <c r="C26" s="55"/>
      <c r="D26" s="20">
        <f t="shared" si="2"/>
        <v>134</v>
      </c>
      <c r="E26" s="20">
        <f t="shared" si="2"/>
        <v>121</v>
      </c>
      <c r="F26" s="20">
        <f t="shared" si="2"/>
        <v>124</v>
      </c>
      <c r="G26" s="20">
        <f t="shared" si="2"/>
        <v>124</v>
      </c>
      <c r="H26" s="20">
        <f t="shared" si="2"/>
        <v>232</v>
      </c>
      <c r="I26" s="20">
        <f t="shared" si="2"/>
        <v>127</v>
      </c>
      <c r="J26" s="20" t="s">
        <v>226</v>
      </c>
    </row>
    <row r="27" spans="1:10" ht="23.25">
      <c r="A27" s="20"/>
      <c r="B27" s="55" t="s">
        <v>242</v>
      </c>
      <c r="C27" s="55"/>
      <c r="D27" s="20">
        <f t="shared" si="2"/>
        <v>135</v>
      </c>
      <c r="E27" s="20">
        <f t="shared" si="2"/>
        <v>122</v>
      </c>
      <c r="F27" s="20">
        <f t="shared" si="2"/>
        <v>208</v>
      </c>
      <c r="G27" s="20">
        <f t="shared" si="2"/>
        <v>136</v>
      </c>
      <c r="H27" s="20">
        <f t="shared" si="2"/>
        <v>138</v>
      </c>
      <c r="I27" s="20">
        <f t="shared" si="2"/>
        <v>128</v>
      </c>
      <c r="J27" s="20" t="s">
        <v>226</v>
      </c>
    </row>
    <row r="28" spans="1:10" ht="23.25">
      <c r="A28" s="20"/>
      <c r="B28" s="55" t="s">
        <v>243</v>
      </c>
      <c r="C28" s="55"/>
      <c r="D28" s="20">
        <f t="shared" si="2"/>
        <v>135</v>
      </c>
      <c r="E28" s="20">
        <f t="shared" si="2"/>
        <v>122</v>
      </c>
      <c r="F28" s="20">
        <f t="shared" si="2"/>
        <v>151</v>
      </c>
      <c r="G28" s="20">
        <f t="shared" si="2"/>
        <v>196</v>
      </c>
      <c r="H28" s="20">
        <f t="shared" si="2"/>
        <v>138</v>
      </c>
      <c r="I28" s="20">
        <f t="shared" si="2"/>
        <v>128</v>
      </c>
      <c r="J28" s="20" t="s">
        <v>226</v>
      </c>
    </row>
    <row r="29" spans="1:10" ht="23.25">
      <c r="A29" s="55" t="s">
        <v>244</v>
      </c>
      <c r="B29" s="55"/>
      <c r="C29" s="55"/>
      <c r="D29" s="20">
        <f t="shared" ref="D29:I29" si="3">D15+20</f>
        <v>134</v>
      </c>
      <c r="E29" s="20">
        <f t="shared" si="3"/>
        <v>121</v>
      </c>
      <c r="F29" s="20">
        <f t="shared" si="3"/>
        <v>124</v>
      </c>
      <c r="G29" s="20">
        <f t="shared" si="3"/>
        <v>124</v>
      </c>
      <c r="H29" s="20">
        <f t="shared" si="3"/>
        <v>169</v>
      </c>
      <c r="I29" s="20">
        <f t="shared" si="3"/>
        <v>182</v>
      </c>
      <c r="J29" s="20"/>
    </row>
    <row r="30" spans="1:10" ht="23.25">
      <c r="A30" s="55" t="s">
        <v>245</v>
      </c>
      <c r="B30" s="55"/>
      <c r="C30" s="55"/>
      <c r="D30" s="20">
        <f t="shared" ref="D30:I30" si="4">D14+20</f>
        <v>134</v>
      </c>
      <c r="E30" s="20">
        <f t="shared" si="4"/>
        <v>121</v>
      </c>
      <c r="F30" s="20">
        <f t="shared" si="4"/>
        <v>124</v>
      </c>
      <c r="G30" s="20">
        <f t="shared" si="4"/>
        <v>124</v>
      </c>
      <c r="H30" s="20">
        <f t="shared" si="4"/>
        <v>224</v>
      </c>
      <c r="I30" s="20">
        <f t="shared" si="4"/>
        <v>127</v>
      </c>
      <c r="J30" s="20"/>
    </row>
    <row r="31" spans="1:10">
      <c r="A31" s="20"/>
      <c r="B31" s="20"/>
      <c r="C31" s="20"/>
      <c r="D31" s="20"/>
      <c r="E31" s="20"/>
      <c r="F31" s="20"/>
      <c r="G31" s="20"/>
      <c r="H31" s="20"/>
      <c r="I31" s="20"/>
      <c r="J31" s="20"/>
    </row>
    <row r="32" spans="1:10">
      <c r="A32" s="20"/>
      <c r="B32" s="20"/>
      <c r="C32" s="20"/>
      <c r="D32" s="20"/>
      <c r="E32" s="20"/>
      <c r="F32" s="20"/>
      <c r="G32" s="20"/>
      <c r="H32" s="20"/>
      <c r="I32" s="20"/>
      <c r="J32" s="20"/>
    </row>
  </sheetData>
  <mergeCells count="12">
    <mergeCell ref="B4:D4"/>
    <mergeCell ref="B27:C27"/>
    <mergeCell ref="B28:C28"/>
    <mergeCell ref="A29:C29"/>
    <mergeCell ref="A30:C30"/>
    <mergeCell ref="B19:D19"/>
    <mergeCell ref="B21:C21"/>
    <mergeCell ref="B22:C22"/>
    <mergeCell ref="B23:C23"/>
    <mergeCell ref="B24:C24"/>
    <mergeCell ref="B25:C25"/>
    <mergeCell ref="B26:C26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EA373-D496-46E2-8939-D2FC0D5564C2}">
  <dimension ref="A1:M128"/>
  <sheetViews>
    <sheetView topLeftCell="B1" workbookViewId="0">
      <pane ySplit="1" topLeftCell="A5" activePane="bottomLeft" state="frozen"/>
      <selection pane="bottomLeft" activeCell="G18" sqref="G18"/>
    </sheetView>
  </sheetViews>
  <sheetFormatPr defaultRowHeight="22.9"/>
  <cols>
    <col min="1" max="1" width="9.0390625" style="1" customWidth="1"/>
    <col min="2" max="2" width="5.5390625" style="1" customWidth="1"/>
    <col min="3" max="5" width="8.5390625" style="1" customWidth="1"/>
    <col min="6" max="7" width="8.5390625" style="6" customWidth="1"/>
    <col min="8" max="36" width="8.5390625" style="1" customWidth="1"/>
    <col min="37" max="16384" width="8.6640625" style="1"/>
  </cols>
  <sheetData>
    <row r="1" spans="1:13" ht="23.25">
      <c r="A1" s="1" t="s">
        <v>0</v>
      </c>
      <c r="B1" s="1" t="s">
        <v>1</v>
      </c>
      <c r="C1" s="26" t="s">
        <v>94</v>
      </c>
      <c r="D1" s="26"/>
      <c r="E1" s="1" t="s">
        <v>85</v>
      </c>
      <c r="F1" s="6" t="s">
        <v>86</v>
      </c>
      <c r="G1" s="6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</row>
    <row r="2" spans="1:13" ht="23.25">
      <c r="A2" s="1">
        <v>44000002</v>
      </c>
      <c r="B2" s="1" t="s">
        <v>2</v>
      </c>
      <c r="C2" s="26" t="s">
        <v>95</v>
      </c>
      <c r="D2" s="26"/>
      <c r="E2" s="1">
        <v>5</v>
      </c>
      <c r="I2" s="1">
        <v>1</v>
      </c>
    </row>
    <row r="3" spans="1:13" ht="23.25">
      <c r="A3" s="1">
        <v>44000003</v>
      </c>
      <c r="B3" s="1" t="s">
        <v>3</v>
      </c>
      <c r="C3" s="26" t="s">
        <v>96</v>
      </c>
      <c r="D3" s="26"/>
      <c r="F3" s="6">
        <v>6</v>
      </c>
    </row>
    <row r="4" spans="1:13" ht="23.25">
      <c r="A4" s="1">
        <v>44000004</v>
      </c>
      <c r="B4" s="1" t="s">
        <v>4</v>
      </c>
      <c r="C4" s="26" t="s">
        <v>97</v>
      </c>
      <c r="D4" s="26"/>
      <c r="I4" s="1">
        <v>4</v>
      </c>
      <c r="J4" s="1">
        <v>1</v>
      </c>
    </row>
    <row r="5" spans="1:13" ht="23.25">
      <c r="A5" s="1">
        <v>44000005</v>
      </c>
      <c r="B5" s="1" t="s">
        <v>5</v>
      </c>
      <c r="C5" s="26" t="s">
        <v>98</v>
      </c>
      <c r="D5" s="26"/>
      <c r="F5" s="6">
        <v>1</v>
      </c>
      <c r="G5" s="6">
        <v>6</v>
      </c>
    </row>
    <row r="6" spans="1:13" ht="23.25">
      <c r="A6" s="1">
        <v>44000006</v>
      </c>
      <c r="B6" s="1" t="s">
        <v>6</v>
      </c>
      <c r="C6" s="26" t="s">
        <v>99</v>
      </c>
      <c r="D6" s="26"/>
      <c r="F6" s="6">
        <v>1</v>
      </c>
      <c r="G6" s="6">
        <v>6</v>
      </c>
    </row>
    <row r="7" spans="1:13" ht="23.25">
      <c r="A7" s="1">
        <v>44000007</v>
      </c>
      <c r="B7" s="1" t="s">
        <v>7</v>
      </c>
      <c r="C7" s="26" t="s">
        <v>100</v>
      </c>
      <c r="D7" s="26"/>
      <c r="H7" s="1">
        <v>4</v>
      </c>
      <c r="I7" s="1">
        <v>1</v>
      </c>
    </row>
    <row r="8" spans="1:13" ht="23.25">
      <c r="A8" s="1">
        <v>44000008</v>
      </c>
      <c r="B8" s="1" t="s">
        <v>8</v>
      </c>
      <c r="C8" s="26" t="s">
        <v>101</v>
      </c>
      <c r="D8" s="26"/>
      <c r="J8" s="1">
        <v>5</v>
      </c>
    </row>
    <row r="10" spans="1:13" ht="23.25">
      <c r="A10" s="1">
        <v>44000009</v>
      </c>
      <c r="B10" s="1" t="s">
        <v>9</v>
      </c>
      <c r="C10" s="26" t="s">
        <v>102</v>
      </c>
      <c r="D10" s="26"/>
      <c r="K10" s="1">
        <v>3</v>
      </c>
      <c r="L10" s="1">
        <v>1</v>
      </c>
    </row>
    <row r="11" spans="1:13" ht="23.25">
      <c r="A11" s="1">
        <v>44000010</v>
      </c>
      <c r="B11" s="1" t="s">
        <v>10</v>
      </c>
      <c r="C11" s="26" t="s">
        <v>103</v>
      </c>
      <c r="D11" s="26"/>
      <c r="E11" s="1">
        <v>3</v>
      </c>
    </row>
    <row r="12" spans="1:13" ht="23.25">
      <c r="A12" s="1">
        <v>44000011</v>
      </c>
      <c r="B12" s="1" t="s">
        <v>11</v>
      </c>
      <c r="C12" s="26" t="s">
        <v>104</v>
      </c>
      <c r="D12" s="26"/>
      <c r="E12" s="1">
        <v>2</v>
      </c>
      <c r="F12" s="6">
        <v>1</v>
      </c>
    </row>
    <row r="13" spans="1:13" ht="23.25">
      <c r="A13" s="1">
        <v>44000012</v>
      </c>
      <c r="B13" s="1" t="s">
        <v>12</v>
      </c>
      <c r="C13" s="26" t="s">
        <v>105</v>
      </c>
      <c r="D13" s="26"/>
      <c r="H13" s="1">
        <v>1</v>
      </c>
      <c r="I13" s="1">
        <v>3</v>
      </c>
    </row>
    <row r="14" spans="1:13" ht="23.25">
      <c r="A14" s="1">
        <v>44000013</v>
      </c>
      <c r="B14" s="1" t="s">
        <v>13</v>
      </c>
      <c r="C14" s="26" t="s">
        <v>106</v>
      </c>
      <c r="D14" s="26"/>
      <c r="G14" s="6">
        <v>1</v>
      </c>
      <c r="I14" s="1">
        <v>1</v>
      </c>
      <c r="J14" s="1">
        <v>2</v>
      </c>
    </row>
    <row r="15" spans="1:13" ht="23.25">
      <c r="A15" s="1">
        <v>44000015</v>
      </c>
      <c r="B15" s="1" t="s">
        <v>14</v>
      </c>
      <c r="C15" s="26" t="s">
        <v>107</v>
      </c>
      <c r="D15" s="26"/>
      <c r="G15" s="6">
        <v>2</v>
      </c>
    </row>
    <row r="17" spans="1:13" ht="23.25">
      <c r="A17" s="1">
        <v>44000016</v>
      </c>
      <c r="B17" s="1" t="s">
        <v>15</v>
      </c>
      <c r="C17" s="26" t="s">
        <v>108</v>
      </c>
      <c r="D17" s="26"/>
      <c r="E17" s="1">
        <v>3</v>
      </c>
      <c r="G17" s="6">
        <v>2</v>
      </c>
    </row>
    <row r="18" spans="1:13" ht="23.25">
      <c r="A18" s="1">
        <v>44000017</v>
      </c>
      <c r="B18" s="1" t="s">
        <v>16</v>
      </c>
      <c r="C18" s="26" t="s">
        <v>109</v>
      </c>
      <c r="D18" s="26"/>
      <c r="E18" s="1">
        <v>3</v>
      </c>
    </row>
    <row r="19" spans="1:13" ht="23.25">
      <c r="A19" s="1">
        <v>44000018</v>
      </c>
      <c r="B19" s="1" t="s">
        <v>17</v>
      </c>
      <c r="C19" s="26" t="s">
        <v>110</v>
      </c>
      <c r="D19" s="26"/>
      <c r="G19" s="6">
        <v>1</v>
      </c>
      <c r="J19" s="1">
        <v>3</v>
      </c>
    </row>
    <row r="20" spans="1:13" ht="23.25">
      <c r="A20" s="1">
        <v>44000019</v>
      </c>
      <c r="B20" s="1" t="s">
        <v>18</v>
      </c>
      <c r="C20" s="26" t="s">
        <v>111</v>
      </c>
      <c r="D20" s="26"/>
      <c r="H20" s="1">
        <v>1</v>
      </c>
      <c r="I20" s="1">
        <v>1</v>
      </c>
      <c r="K20" s="1">
        <v>2</v>
      </c>
    </row>
    <row r="21" spans="1:13" ht="23.25">
      <c r="A21" s="1">
        <v>44000020</v>
      </c>
      <c r="B21" s="1" t="s">
        <v>19</v>
      </c>
      <c r="C21" s="26" t="s">
        <v>112</v>
      </c>
      <c r="D21" s="26"/>
      <c r="E21" s="1">
        <v>1</v>
      </c>
      <c r="F21" s="6">
        <v>2</v>
      </c>
      <c r="J21" s="1">
        <v>1</v>
      </c>
    </row>
    <row r="22" spans="1:13" ht="23.25">
      <c r="A22" s="1">
        <v>44000021</v>
      </c>
      <c r="B22" s="1" t="s">
        <v>20</v>
      </c>
      <c r="C22" s="26" t="s">
        <v>113</v>
      </c>
      <c r="D22" s="26"/>
      <c r="E22" s="1">
        <v>1</v>
      </c>
      <c r="G22" s="6">
        <v>2</v>
      </c>
    </row>
    <row r="24" spans="1:13" ht="23.25">
      <c r="A24" s="1">
        <v>44000022</v>
      </c>
      <c r="B24" s="1" t="s">
        <v>21</v>
      </c>
      <c r="C24" s="26" t="s">
        <v>114</v>
      </c>
      <c r="D24" s="26"/>
      <c r="E24" s="1">
        <v>2</v>
      </c>
      <c r="I24" s="1">
        <v>2</v>
      </c>
      <c r="J24" s="2">
        <v>1</v>
      </c>
    </row>
    <row r="25" spans="1:13" ht="23.25">
      <c r="A25" s="1">
        <v>44000023</v>
      </c>
      <c r="B25" s="1" t="s">
        <v>22</v>
      </c>
      <c r="C25" s="26" t="s">
        <v>115</v>
      </c>
      <c r="D25" s="26"/>
      <c r="I25" s="1">
        <v>1</v>
      </c>
      <c r="K25" s="1">
        <v>3</v>
      </c>
    </row>
    <row r="26" spans="1:13" ht="29.25">
      <c r="A26" s="1">
        <v>44000024</v>
      </c>
      <c r="B26" s="1" t="s">
        <v>23</v>
      </c>
      <c r="C26" s="26" t="s">
        <v>116</v>
      </c>
      <c r="D26" s="26"/>
      <c r="E26" s="1">
        <v>3</v>
      </c>
      <c r="G26" s="6">
        <v>1</v>
      </c>
    </row>
    <row r="27" spans="1:13" ht="23.25">
      <c r="A27" s="1">
        <v>44000025</v>
      </c>
      <c r="B27" s="1" t="s">
        <v>24</v>
      </c>
      <c r="C27" s="26" t="s">
        <v>117</v>
      </c>
      <c r="D27" s="26"/>
      <c r="G27" s="6">
        <v>4</v>
      </c>
    </row>
    <row r="28" spans="1:13" ht="23.25">
      <c r="A28" s="1">
        <v>44000026</v>
      </c>
      <c r="B28" s="1" t="s">
        <v>25</v>
      </c>
      <c r="C28" s="26" t="s">
        <v>118</v>
      </c>
      <c r="D28" s="26"/>
      <c r="H28" s="1">
        <v>1</v>
      </c>
      <c r="J28" s="1">
        <v>3</v>
      </c>
    </row>
    <row r="29" spans="1:13">
      <c r="A29" s="1">
        <v>44000034</v>
      </c>
      <c r="B29" s="2" t="s">
        <v>26</v>
      </c>
      <c r="C29" s="26"/>
      <c r="D29" s="26"/>
    </row>
    <row r="30" spans="1:13" ht="23.25">
      <c r="A30" s="1">
        <v>44000035</v>
      </c>
      <c r="B30" s="2" t="s">
        <v>27</v>
      </c>
      <c r="C30" s="38" t="s">
        <v>119</v>
      </c>
      <c r="D30" s="38"/>
      <c r="M30" s="1">
        <v>1</v>
      </c>
    </row>
    <row r="31" spans="1:13" ht="23.25">
      <c r="A31" s="1">
        <v>44000036</v>
      </c>
      <c r="B31" s="1" t="s">
        <v>28</v>
      </c>
      <c r="C31" s="26" t="s">
        <v>120</v>
      </c>
      <c r="D31" s="26"/>
      <c r="F31" s="6">
        <v>4</v>
      </c>
    </row>
    <row r="33" spans="1:12">
      <c r="A33" s="1">
        <v>44000037</v>
      </c>
      <c r="B33" s="2" t="s">
        <v>29</v>
      </c>
      <c r="C33" s="26"/>
      <c r="D33" s="26"/>
    </row>
    <row r="34" spans="1:12" ht="23.25">
      <c r="A34" s="1">
        <v>44000038</v>
      </c>
      <c r="B34" s="1" t="s">
        <v>30</v>
      </c>
      <c r="C34" s="26" t="s">
        <v>121</v>
      </c>
      <c r="D34" s="26"/>
      <c r="E34" s="1">
        <v>2</v>
      </c>
      <c r="J34" s="1">
        <v>1</v>
      </c>
    </row>
    <row r="35" spans="1:12" ht="23.25">
      <c r="A35" s="1">
        <v>44000039</v>
      </c>
      <c r="B35" s="1" t="s">
        <v>31</v>
      </c>
      <c r="C35" s="26" t="s">
        <v>122</v>
      </c>
      <c r="D35" s="26"/>
      <c r="I35" s="1">
        <v>3</v>
      </c>
    </row>
    <row r="36" spans="1:12" ht="23.25">
      <c r="A36" s="1">
        <v>44000040</v>
      </c>
      <c r="B36" s="1" t="s">
        <v>32</v>
      </c>
      <c r="C36" s="26" t="s">
        <v>123</v>
      </c>
      <c r="D36" s="26"/>
      <c r="E36" s="1">
        <v>1</v>
      </c>
      <c r="J36" s="1">
        <v>1</v>
      </c>
    </row>
    <row r="37" spans="1:12" ht="23.25">
      <c r="A37" s="1">
        <v>44000041</v>
      </c>
      <c r="B37" s="1" t="s">
        <v>33</v>
      </c>
      <c r="C37" s="26" t="s">
        <v>124</v>
      </c>
      <c r="D37" s="26"/>
      <c r="H37" s="1">
        <v>3</v>
      </c>
    </row>
    <row r="38" spans="1:12" ht="23.25">
      <c r="A38" s="1">
        <v>44000042</v>
      </c>
      <c r="B38" s="1" t="s">
        <v>34</v>
      </c>
      <c r="C38" s="26" t="s">
        <v>125</v>
      </c>
      <c r="D38" s="26"/>
      <c r="F38" s="6">
        <v>3</v>
      </c>
    </row>
    <row r="39" spans="1:12" ht="23.25">
      <c r="A39" s="1">
        <v>44000043</v>
      </c>
      <c r="B39" s="1" t="s">
        <v>35</v>
      </c>
      <c r="C39" s="26" t="s">
        <v>126</v>
      </c>
      <c r="D39" s="26"/>
      <c r="J39" s="2">
        <v>4</v>
      </c>
    </row>
    <row r="41" spans="1:12" ht="23.25">
      <c r="A41" s="1">
        <v>44000044</v>
      </c>
      <c r="B41" s="1" t="s">
        <v>36</v>
      </c>
      <c r="C41" s="26" t="s">
        <v>37</v>
      </c>
      <c r="D41" s="26"/>
      <c r="J41" s="1">
        <v>1</v>
      </c>
      <c r="K41" s="1">
        <v>2</v>
      </c>
    </row>
    <row r="42" spans="1:12" ht="23.25">
      <c r="A42" s="1">
        <v>44000045</v>
      </c>
      <c r="B42" s="1" t="s">
        <v>38</v>
      </c>
      <c r="C42" s="26" t="s">
        <v>39</v>
      </c>
      <c r="D42" s="26"/>
      <c r="E42" s="1">
        <v>2</v>
      </c>
      <c r="G42" s="6">
        <v>1</v>
      </c>
    </row>
    <row r="43" spans="1:12" ht="23.25">
      <c r="A43" s="1">
        <v>44000046</v>
      </c>
      <c r="B43" s="1" t="s">
        <v>40</v>
      </c>
      <c r="C43" s="26" t="s">
        <v>41</v>
      </c>
      <c r="D43" s="26"/>
      <c r="E43" s="1">
        <v>1</v>
      </c>
      <c r="I43" s="1">
        <v>1</v>
      </c>
    </row>
    <row r="44" spans="1:12" ht="23.25">
      <c r="A44" s="1">
        <v>44000047</v>
      </c>
      <c r="B44" s="1" t="s">
        <v>42</v>
      </c>
      <c r="C44" s="26" t="s">
        <v>43</v>
      </c>
      <c r="D44" s="26"/>
      <c r="I44" s="1">
        <v>3</v>
      </c>
    </row>
    <row r="45" spans="1:12" ht="23.25">
      <c r="A45" s="1">
        <v>44000048</v>
      </c>
      <c r="B45" s="1" t="s">
        <v>44</v>
      </c>
      <c r="C45" s="26" t="s">
        <v>45</v>
      </c>
      <c r="D45" s="26"/>
      <c r="J45" s="1">
        <v>3</v>
      </c>
    </row>
    <row r="46" spans="1:12" ht="23.25">
      <c r="A46" s="1">
        <v>44000049</v>
      </c>
      <c r="B46" s="1" t="s">
        <v>46</v>
      </c>
      <c r="C46" s="26" t="s">
        <v>47</v>
      </c>
      <c r="D46" s="26"/>
      <c r="H46" s="1">
        <v>2</v>
      </c>
      <c r="K46" s="1">
        <v>1</v>
      </c>
    </row>
    <row r="48" spans="1:12" ht="23.25">
      <c r="A48" s="1">
        <v>44000050</v>
      </c>
      <c r="B48" s="1" t="s">
        <v>48</v>
      </c>
      <c r="C48" s="26" t="s">
        <v>49</v>
      </c>
      <c r="D48" s="26"/>
      <c r="H48" s="1">
        <v>2</v>
      </c>
      <c r="L48" s="1">
        <v>1</v>
      </c>
    </row>
    <row r="49" spans="1:11" ht="23.25">
      <c r="A49" s="1">
        <v>44000051</v>
      </c>
      <c r="B49" s="1" t="s">
        <v>50</v>
      </c>
      <c r="C49" s="26" t="s">
        <v>51</v>
      </c>
      <c r="D49" s="26"/>
      <c r="F49" s="6">
        <v>1</v>
      </c>
      <c r="G49" s="6">
        <v>1</v>
      </c>
    </row>
    <row r="50" spans="1:11" ht="23.25">
      <c r="A50" s="1">
        <v>44000052</v>
      </c>
      <c r="B50" s="1" t="s">
        <v>52</v>
      </c>
      <c r="C50" s="26" t="s">
        <v>53</v>
      </c>
      <c r="D50" s="26"/>
      <c r="I50" s="1">
        <v>2</v>
      </c>
    </row>
    <row r="51" spans="1:11" ht="23.25">
      <c r="A51" s="1">
        <v>44000053</v>
      </c>
      <c r="B51" s="1" t="s">
        <v>54</v>
      </c>
      <c r="C51" s="26" t="s">
        <v>55</v>
      </c>
      <c r="D51" s="26"/>
      <c r="K51" s="1">
        <v>3</v>
      </c>
    </row>
    <row r="52" spans="1:11" ht="23.25">
      <c r="A52" s="1">
        <v>44000054</v>
      </c>
      <c r="B52" s="1" t="s">
        <v>56</v>
      </c>
      <c r="C52" s="26" t="s">
        <v>57</v>
      </c>
      <c r="D52" s="26"/>
      <c r="E52" s="1">
        <v>2</v>
      </c>
      <c r="G52" s="6">
        <v>1</v>
      </c>
    </row>
    <row r="53" spans="1:11" ht="23.25">
      <c r="A53" s="1">
        <v>44000055</v>
      </c>
      <c r="B53" s="1" t="s">
        <v>58</v>
      </c>
      <c r="C53" s="26" t="s">
        <v>59</v>
      </c>
      <c r="D53" s="26"/>
      <c r="F53" s="6">
        <v>1</v>
      </c>
      <c r="G53" s="6">
        <v>1</v>
      </c>
    </row>
    <row r="55" spans="1:11" ht="29.25">
      <c r="A55" s="1">
        <v>44000056</v>
      </c>
      <c r="B55" s="1" t="s">
        <v>60</v>
      </c>
      <c r="C55" s="26" t="s">
        <v>61</v>
      </c>
      <c r="D55" s="26"/>
      <c r="E55" s="2">
        <v>2</v>
      </c>
      <c r="H55" s="1">
        <v>1</v>
      </c>
    </row>
    <row r="56" spans="1:11" ht="23.25">
      <c r="A56" s="1">
        <v>44000057</v>
      </c>
      <c r="B56" s="1" t="s">
        <v>62</v>
      </c>
      <c r="C56" s="26" t="s">
        <v>63</v>
      </c>
      <c r="D56" s="26"/>
      <c r="H56" s="1">
        <v>1</v>
      </c>
      <c r="I56" s="1">
        <v>2</v>
      </c>
      <c r="J56" s="1">
        <v>1</v>
      </c>
    </row>
    <row r="57" spans="1:11" ht="29.25">
      <c r="A57" s="1">
        <v>44000058</v>
      </c>
      <c r="B57" s="1" t="s">
        <v>64</v>
      </c>
      <c r="C57" s="26" t="s">
        <v>65</v>
      </c>
      <c r="D57" s="26"/>
      <c r="F57" s="6">
        <v>2</v>
      </c>
      <c r="H57" s="1">
        <v>1</v>
      </c>
    </row>
    <row r="58" spans="1:11" ht="29.25">
      <c r="A58" s="1">
        <v>44000059</v>
      </c>
      <c r="B58" s="1" t="s">
        <v>66</v>
      </c>
      <c r="C58" s="26" t="s">
        <v>67</v>
      </c>
      <c r="D58" s="26"/>
      <c r="H58" s="2">
        <v>2</v>
      </c>
      <c r="K58" s="1">
        <v>1</v>
      </c>
    </row>
    <row r="59" spans="1:11" ht="29.25">
      <c r="A59" s="1">
        <v>44000060</v>
      </c>
      <c r="B59" s="1" t="s">
        <v>68</v>
      </c>
      <c r="C59" s="26" t="s">
        <v>69</v>
      </c>
      <c r="D59" s="26"/>
      <c r="E59" s="1">
        <v>1</v>
      </c>
      <c r="H59" s="1">
        <v>2</v>
      </c>
    </row>
    <row r="60" spans="1:11" ht="29.25">
      <c r="A60" s="1">
        <v>44000061</v>
      </c>
      <c r="B60" s="1" t="s">
        <v>70</v>
      </c>
      <c r="C60" s="26" t="s">
        <v>71</v>
      </c>
      <c r="D60" s="26"/>
      <c r="I60" s="1">
        <v>1</v>
      </c>
      <c r="J60" s="1">
        <v>2</v>
      </c>
    </row>
    <row r="62" spans="1:11" ht="23.25">
      <c r="A62" s="1">
        <v>44000062</v>
      </c>
      <c r="B62" s="1" t="s">
        <v>72</v>
      </c>
      <c r="C62" s="26" t="s">
        <v>127</v>
      </c>
      <c r="D62" s="26"/>
      <c r="E62" s="1">
        <v>2</v>
      </c>
    </row>
    <row r="63" spans="1:11" ht="23.25">
      <c r="A63" s="1">
        <v>44000063</v>
      </c>
      <c r="B63" s="1" t="s">
        <v>73</v>
      </c>
      <c r="C63" s="26" t="s">
        <v>128</v>
      </c>
      <c r="D63" s="26"/>
      <c r="F63" s="6">
        <v>1</v>
      </c>
      <c r="G63" s="6">
        <v>1</v>
      </c>
    </row>
    <row r="64" spans="1:11" ht="23.25">
      <c r="A64" s="1">
        <v>44000064</v>
      </c>
      <c r="B64" s="1" t="s">
        <v>74</v>
      </c>
      <c r="C64" s="26" t="s">
        <v>129</v>
      </c>
      <c r="D64" s="26"/>
      <c r="K64" s="1">
        <v>1</v>
      </c>
    </row>
    <row r="65" spans="1:9" ht="23.25">
      <c r="A65" s="1">
        <v>44000065</v>
      </c>
      <c r="B65" s="1" t="s">
        <v>75</v>
      </c>
      <c r="C65" s="26" t="s">
        <v>130</v>
      </c>
      <c r="D65" s="26"/>
    </row>
    <row r="66" spans="1:9" ht="23.25">
      <c r="A66" s="1">
        <v>44000066</v>
      </c>
      <c r="B66" s="1" t="s">
        <v>76</v>
      </c>
      <c r="C66" s="26" t="s">
        <v>131</v>
      </c>
      <c r="D66" s="26"/>
      <c r="I66" s="1">
        <v>1</v>
      </c>
    </row>
    <row r="67" spans="1:9" ht="23.25">
      <c r="A67" s="1">
        <v>44000067</v>
      </c>
      <c r="B67" s="1" t="s">
        <v>77</v>
      </c>
      <c r="C67" s="26" t="s">
        <v>132</v>
      </c>
      <c r="D67" s="26"/>
    </row>
    <row r="68" spans="1:9" ht="23.25">
      <c r="A68" s="1">
        <v>44000068</v>
      </c>
      <c r="B68" s="1" t="s">
        <v>78</v>
      </c>
      <c r="C68" s="26" t="s">
        <v>133</v>
      </c>
      <c r="D68" s="26"/>
      <c r="G68" s="6">
        <v>1</v>
      </c>
    </row>
    <row r="69" spans="1:9">
      <c r="C69" s="26"/>
      <c r="D69" s="26"/>
    </row>
    <row r="70" spans="1:9">
      <c r="C70" s="26"/>
      <c r="D70" s="26"/>
    </row>
    <row r="71" spans="1:9">
      <c r="C71" s="26"/>
      <c r="D71" s="26"/>
    </row>
    <row r="72" spans="1:9">
      <c r="C72" s="26"/>
      <c r="D72" s="26"/>
    </row>
    <row r="73" spans="1:9">
      <c r="C73" s="26"/>
      <c r="D73" s="26"/>
    </row>
    <row r="74" spans="1:9">
      <c r="C74" s="26"/>
      <c r="D74" s="26"/>
    </row>
    <row r="75" spans="1:9">
      <c r="C75" s="26"/>
      <c r="D75" s="26"/>
    </row>
    <row r="76" spans="1:9">
      <c r="C76" s="26"/>
      <c r="D76" s="26"/>
    </row>
    <row r="77" spans="1:9">
      <c r="C77" s="26"/>
      <c r="D77" s="26"/>
    </row>
    <row r="78" spans="1:9">
      <c r="C78" s="26"/>
      <c r="D78" s="26"/>
    </row>
    <row r="79" spans="1:9">
      <c r="C79" s="26"/>
      <c r="D79" s="26"/>
    </row>
    <row r="80" spans="1:9">
      <c r="C80" s="26"/>
      <c r="D80" s="26"/>
    </row>
    <row r="81" spans="3:4">
      <c r="C81" s="26"/>
      <c r="D81" s="26"/>
    </row>
    <row r="82" spans="3:4">
      <c r="C82" s="26"/>
      <c r="D82" s="26"/>
    </row>
    <row r="83" spans="3:4">
      <c r="C83" s="26"/>
      <c r="D83" s="26"/>
    </row>
    <row r="84" spans="3:4">
      <c r="C84" s="26"/>
      <c r="D84" s="26"/>
    </row>
    <row r="85" spans="3:4">
      <c r="C85" s="26"/>
      <c r="D85" s="26"/>
    </row>
    <row r="86" spans="3:4">
      <c r="C86" s="26"/>
      <c r="D86" s="26"/>
    </row>
    <row r="87" spans="3:4">
      <c r="C87" s="26"/>
      <c r="D87" s="26"/>
    </row>
    <row r="88" spans="3:4">
      <c r="C88" s="26"/>
      <c r="D88" s="26"/>
    </row>
    <row r="89" spans="3:4">
      <c r="C89" s="26"/>
      <c r="D89" s="26"/>
    </row>
    <row r="90" spans="3:4">
      <c r="C90" s="26"/>
      <c r="D90" s="26"/>
    </row>
    <row r="91" spans="3:4">
      <c r="C91" s="26"/>
      <c r="D91" s="26"/>
    </row>
    <row r="92" spans="3:4">
      <c r="C92" s="26"/>
      <c r="D92" s="26"/>
    </row>
    <row r="93" spans="3:4">
      <c r="C93" s="26"/>
      <c r="D93" s="26"/>
    </row>
    <row r="94" spans="3:4">
      <c r="C94" s="26"/>
      <c r="D94" s="26"/>
    </row>
    <row r="95" spans="3:4">
      <c r="C95" s="26"/>
      <c r="D95" s="26"/>
    </row>
    <row r="96" spans="3:4">
      <c r="C96" s="26"/>
      <c r="D96" s="26"/>
    </row>
    <row r="97" spans="3:4">
      <c r="C97" s="26"/>
      <c r="D97" s="26"/>
    </row>
    <row r="98" spans="3:4">
      <c r="C98" s="26"/>
      <c r="D98" s="26"/>
    </row>
    <row r="99" spans="3:4">
      <c r="C99" s="26"/>
      <c r="D99" s="26"/>
    </row>
    <row r="100" spans="3:4">
      <c r="C100" s="26"/>
      <c r="D100" s="26"/>
    </row>
    <row r="101" spans="3:4">
      <c r="C101" s="26"/>
      <c r="D101" s="26"/>
    </row>
    <row r="102" spans="3:4">
      <c r="C102" s="26"/>
      <c r="D102" s="26"/>
    </row>
    <row r="103" spans="3:4">
      <c r="C103" s="26"/>
      <c r="D103" s="26"/>
    </row>
    <row r="104" spans="3:4">
      <c r="C104" s="26"/>
      <c r="D104" s="26"/>
    </row>
    <row r="105" spans="3:4">
      <c r="C105" s="26"/>
      <c r="D105" s="26"/>
    </row>
    <row r="106" spans="3:4">
      <c r="C106" s="26"/>
      <c r="D106" s="26"/>
    </row>
    <row r="107" spans="3:4">
      <c r="C107" s="26"/>
      <c r="D107" s="26"/>
    </row>
    <row r="108" spans="3:4">
      <c r="C108" s="26"/>
      <c r="D108" s="26"/>
    </row>
    <row r="109" spans="3:4">
      <c r="C109" s="26"/>
      <c r="D109" s="26"/>
    </row>
    <row r="110" spans="3:4">
      <c r="C110" s="26"/>
      <c r="D110" s="26"/>
    </row>
    <row r="111" spans="3:4">
      <c r="C111" s="26"/>
      <c r="D111" s="26"/>
    </row>
    <row r="112" spans="3:4">
      <c r="C112" s="26"/>
      <c r="D112" s="26"/>
    </row>
    <row r="113" spans="3:4">
      <c r="C113" s="26"/>
      <c r="D113" s="26"/>
    </row>
    <row r="114" spans="3:4">
      <c r="C114" s="26"/>
      <c r="D114" s="26"/>
    </row>
    <row r="115" spans="3:4">
      <c r="C115" s="26"/>
      <c r="D115" s="26"/>
    </row>
    <row r="116" spans="3:4">
      <c r="C116" s="26"/>
      <c r="D116" s="26"/>
    </row>
    <row r="117" spans="3:4">
      <c r="C117" s="26"/>
      <c r="D117" s="26"/>
    </row>
    <row r="118" spans="3:4">
      <c r="C118" s="26"/>
      <c r="D118" s="26"/>
    </row>
    <row r="119" spans="3:4">
      <c r="C119" s="26"/>
      <c r="D119" s="26"/>
    </row>
    <row r="120" spans="3:4">
      <c r="C120" s="26"/>
      <c r="D120" s="26"/>
    </row>
    <row r="121" spans="3:4">
      <c r="C121" s="26"/>
      <c r="D121" s="26"/>
    </row>
    <row r="122" spans="3:4">
      <c r="C122" s="26"/>
      <c r="D122" s="26"/>
    </row>
    <row r="123" spans="3:4">
      <c r="C123" s="26"/>
      <c r="D123" s="26"/>
    </row>
    <row r="124" spans="3:4">
      <c r="C124" s="26"/>
      <c r="D124" s="26"/>
    </row>
    <row r="125" spans="3:4">
      <c r="C125" s="26"/>
      <c r="D125" s="26"/>
    </row>
    <row r="126" spans="3:4">
      <c r="C126" s="26"/>
      <c r="D126" s="26"/>
    </row>
    <row r="127" spans="3:4">
      <c r="C127" s="26"/>
      <c r="D127" s="26"/>
    </row>
    <row r="128" spans="3:4">
      <c r="C128" s="26"/>
      <c r="D128" s="26"/>
    </row>
  </sheetData>
  <mergeCells count="120">
    <mergeCell ref="C124:D124"/>
    <mergeCell ref="C125:D125"/>
    <mergeCell ref="C126:D126"/>
    <mergeCell ref="C127:D127"/>
    <mergeCell ref="C128:D128"/>
    <mergeCell ref="C118:D118"/>
    <mergeCell ref="C119:D119"/>
    <mergeCell ref="C120:D120"/>
    <mergeCell ref="C121:D121"/>
    <mergeCell ref="C122:D122"/>
    <mergeCell ref="C123:D123"/>
    <mergeCell ref="C112:D112"/>
    <mergeCell ref="C113:D113"/>
    <mergeCell ref="C114:D114"/>
    <mergeCell ref="C115:D115"/>
    <mergeCell ref="C116:D116"/>
    <mergeCell ref="C117:D117"/>
    <mergeCell ref="C106:D106"/>
    <mergeCell ref="C107:D107"/>
    <mergeCell ref="C108:D108"/>
    <mergeCell ref="C109:D109"/>
    <mergeCell ref="C110:D110"/>
    <mergeCell ref="C111:D111"/>
    <mergeCell ref="C100:D100"/>
    <mergeCell ref="C101:D101"/>
    <mergeCell ref="C102:D102"/>
    <mergeCell ref="C103:D103"/>
    <mergeCell ref="C104:D104"/>
    <mergeCell ref="C105:D105"/>
    <mergeCell ref="C94:D94"/>
    <mergeCell ref="C95:D95"/>
    <mergeCell ref="C96:D96"/>
    <mergeCell ref="C97:D97"/>
    <mergeCell ref="C98:D98"/>
    <mergeCell ref="C99:D99"/>
    <mergeCell ref="C88:D88"/>
    <mergeCell ref="C89:D89"/>
    <mergeCell ref="C90:D90"/>
    <mergeCell ref="C91:D91"/>
    <mergeCell ref="C92:D92"/>
    <mergeCell ref="C93:D93"/>
    <mergeCell ref="C82:D82"/>
    <mergeCell ref="C83:D83"/>
    <mergeCell ref="C84:D84"/>
    <mergeCell ref="C85:D85"/>
    <mergeCell ref="C86:D86"/>
    <mergeCell ref="C87:D87"/>
    <mergeCell ref="C76:D76"/>
    <mergeCell ref="C77:D77"/>
    <mergeCell ref="C78:D78"/>
    <mergeCell ref="C79:D79"/>
    <mergeCell ref="C80:D80"/>
    <mergeCell ref="C81:D81"/>
    <mergeCell ref="C71:D71"/>
    <mergeCell ref="C72:D72"/>
    <mergeCell ref="C73:D73"/>
    <mergeCell ref="C74:D74"/>
    <mergeCell ref="C75:D75"/>
    <mergeCell ref="C69:D69"/>
    <mergeCell ref="C70:D70"/>
    <mergeCell ref="C63:D63"/>
    <mergeCell ref="C64:D64"/>
    <mergeCell ref="C65:D65"/>
    <mergeCell ref="C66:D66"/>
    <mergeCell ref="C67:D67"/>
    <mergeCell ref="C68:D68"/>
    <mergeCell ref="C56:D56"/>
    <mergeCell ref="C57:D57"/>
    <mergeCell ref="C58:D58"/>
    <mergeCell ref="C59:D59"/>
    <mergeCell ref="C60:D60"/>
    <mergeCell ref="C62:D62"/>
    <mergeCell ref="C49:D49"/>
    <mergeCell ref="C50:D50"/>
    <mergeCell ref="C51:D51"/>
    <mergeCell ref="C52:D52"/>
    <mergeCell ref="C53:D53"/>
    <mergeCell ref="C55:D55"/>
    <mergeCell ref="C42:D42"/>
    <mergeCell ref="C43:D43"/>
    <mergeCell ref="C44:D44"/>
    <mergeCell ref="C45:D45"/>
    <mergeCell ref="C46:D46"/>
    <mergeCell ref="C48:D48"/>
    <mergeCell ref="C35:D35"/>
    <mergeCell ref="C36:D36"/>
    <mergeCell ref="C37:D37"/>
    <mergeCell ref="C38:D38"/>
    <mergeCell ref="C39:D39"/>
    <mergeCell ref="C41:D41"/>
    <mergeCell ref="C28:D28"/>
    <mergeCell ref="C29:D29"/>
    <mergeCell ref="C30:D30"/>
    <mergeCell ref="C31:D31"/>
    <mergeCell ref="C33:D33"/>
    <mergeCell ref="C34:D34"/>
    <mergeCell ref="C21:D21"/>
    <mergeCell ref="C22:D22"/>
    <mergeCell ref="C24:D24"/>
    <mergeCell ref="C25:D25"/>
    <mergeCell ref="C26:D26"/>
    <mergeCell ref="C27:D27"/>
    <mergeCell ref="C14:D14"/>
    <mergeCell ref="C15:D15"/>
    <mergeCell ref="C17:D17"/>
    <mergeCell ref="C18:D18"/>
    <mergeCell ref="C19:D19"/>
    <mergeCell ref="C20:D20"/>
    <mergeCell ref="C7:D7"/>
    <mergeCell ref="C8:D8"/>
    <mergeCell ref="C10:D10"/>
    <mergeCell ref="C11:D11"/>
    <mergeCell ref="C12:D12"/>
    <mergeCell ref="C13:D13"/>
    <mergeCell ref="C1:D1"/>
    <mergeCell ref="C2:D2"/>
    <mergeCell ref="C3:D3"/>
    <mergeCell ref="C4:D4"/>
    <mergeCell ref="C5:D5"/>
    <mergeCell ref="C6:D6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D5F09-6E28-44B3-B23B-72BE1DE5E4B4}">
  <dimension ref="B1:I44"/>
  <sheetViews>
    <sheetView workbookViewId="0">
      <pane ySplit="1" topLeftCell="A2" activePane="bottomLeft" state="frozen"/>
      <selection pane="bottomLeft" activeCell="E16" sqref="E16"/>
    </sheetView>
  </sheetViews>
  <sheetFormatPr defaultRowHeight="22.9"/>
  <cols>
    <col min="1" max="1" width="9.0390625" style="1" customWidth="1"/>
    <col min="2" max="35" width="8.5390625" style="1" customWidth="1"/>
    <col min="36" max="16384" width="8.6640625" style="1"/>
  </cols>
  <sheetData>
    <row r="1" spans="2:9" ht="23.25">
      <c r="B1" s="56"/>
      <c r="C1" s="26"/>
      <c r="D1" s="1" t="s">
        <v>79</v>
      </c>
      <c r="E1" s="1" t="s">
        <v>80</v>
      </c>
      <c r="F1" s="1" t="s">
        <v>83</v>
      </c>
      <c r="G1" s="1" t="s">
        <v>84</v>
      </c>
      <c r="H1" s="1" t="s">
        <v>81</v>
      </c>
      <c r="I1" s="1" t="s">
        <v>82</v>
      </c>
    </row>
    <row r="2" spans="2:9" ht="23.25">
      <c r="B2" s="46" t="s">
        <v>148</v>
      </c>
      <c r="C2" s="26"/>
      <c r="D2" s="4">
        <v>0.7</v>
      </c>
      <c r="E2" s="4">
        <v>0.4</v>
      </c>
      <c r="F2" s="4">
        <v>0.6</v>
      </c>
      <c r="G2" s="4">
        <v>0.55000000000000004</v>
      </c>
      <c r="H2" s="4">
        <v>0.5</v>
      </c>
      <c r="I2" s="4">
        <v>0.55000000000000004</v>
      </c>
    </row>
    <row r="3" spans="2:9" ht="23.25">
      <c r="B3" s="3"/>
      <c r="D3" s="1">
        <v>39</v>
      </c>
      <c r="E3" s="1">
        <v>35</v>
      </c>
      <c r="F3" s="1">
        <v>39</v>
      </c>
      <c r="G3" s="1">
        <v>37</v>
      </c>
      <c r="H3" s="1">
        <v>35</v>
      </c>
      <c r="I3" s="1">
        <v>37</v>
      </c>
    </row>
    <row r="4" spans="2:9" ht="23.25">
      <c r="B4" s="46" t="s">
        <v>149</v>
      </c>
      <c r="C4" s="26"/>
      <c r="D4" s="4">
        <v>0.4</v>
      </c>
      <c r="E4" s="4">
        <v>0.7</v>
      </c>
      <c r="F4" s="4">
        <v>0.55000000000000004</v>
      </c>
      <c r="G4" s="4">
        <v>0.5</v>
      </c>
      <c r="H4" s="4">
        <v>0.55000000000000004</v>
      </c>
      <c r="I4" s="4">
        <v>0.6</v>
      </c>
    </row>
    <row r="5" spans="2:9" ht="23.25">
      <c r="B5" s="3"/>
      <c r="D5" s="1">
        <v>35</v>
      </c>
      <c r="E5" s="1">
        <v>39</v>
      </c>
      <c r="F5" s="1">
        <v>37</v>
      </c>
      <c r="G5" s="1">
        <v>35</v>
      </c>
      <c r="H5" s="1">
        <v>37</v>
      </c>
      <c r="I5" s="1">
        <v>39</v>
      </c>
    </row>
    <row r="6" spans="2:9" ht="23.25">
      <c r="B6" s="46" t="s">
        <v>150</v>
      </c>
      <c r="C6" s="26"/>
      <c r="D6" s="4">
        <v>0.55000000000000004</v>
      </c>
      <c r="E6" s="4">
        <v>0.55000000000000004</v>
      </c>
      <c r="F6" s="4">
        <v>0.4</v>
      </c>
      <c r="G6" s="4">
        <v>0.6</v>
      </c>
      <c r="H6" s="4">
        <v>0.7</v>
      </c>
      <c r="I6" s="4">
        <v>0.5</v>
      </c>
    </row>
    <row r="7" spans="2:9">
      <c r="B7" s="26"/>
      <c r="C7" s="26"/>
      <c r="D7" s="1">
        <v>37</v>
      </c>
      <c r="E7" s="1">
        <v>37</v>
      </c>
      <c r="F7" s="1">
        <v>35</v>
      </c>
      <c r="G7" s="1">
        <v>39</v>
      </c>
      <c r="H7" s="1">
        <v>39</v>
      </c>
      <c r="I7" s="1">
        <v>35</v>
      </c>
    </row>
    <row r="8" spans="2:9" ht="23.25">
      <c r="B8" s="57" t="s">
        <v>273</v>
      </c>
      <c r="C8" s="38"/>
      <c r="D8" s="24">
        <v>0.7</v>
      </c>
      <c r="E8" s="24">
        <v>0.6</v>
      </c>
      <c r="F8" s="24">
        <v>0.5</v>
      </c>
      <c r="G8" s="24">
        <v>0.5</v>
      </c>
      <c r="H8" s="24">
        <v>0.45</v>
      </c>
      <c r="I8" s="24">
        <v>0.55000000000000004</v>
      </c>
    </row>
    <row r="9" spans="2:9">
      <c r="B9" s="38"/>
      <c r="C9" s="38"/>
      <c r="D9" s="2">
        <v>39</v>
      </c>
      <c r="E9" s="2">
        <v>39</v>
      </c>
      <c r="F9" s="2">
        <v>37</v>
      </c>
      <c r="G9" s="2">
        <v>35</v>
      </c>
      <c r="H9" s="2">
        <v>35</v>
      </c>
      <c r="I9" s="2">
        <v>37</v>
      </c>
    </row>
    <row r="10" spans="2:9">
      <c r="B10" s="26"/>
      <c r="C10" s="26"/>
    </row>
    <row r="11" spans="2:9">
      <c r="B11" s="26"/>
      <c r="C11" s="26"/>
    </row>
    <row r="12" spans="2:9">
      <c r="B12" s="26"/>
      <c r="C12" s="26"/>
    </row>
    <row r="13" spans="2:9">
      <c r="B13" s="26"/>
      <c r="C13" s="26"/>
    </row>
    <row r="14" spans="2:9">
      <c r="B14" s="26"/>
      <c r="C14" s="26"/>
    </row>
    <row r="15" spans="2:9">
      <c r="B15" s="26"/>
      <c r="C15" s="26"/>
    </row>
    <row r="16" spans="2:9">
      <c r="B16" s="26"/>
      <c r="C16" s="26"/>
    </row>
    <row r="17" spans="2:3">
      <c r="B17" s="26"/>
      <c r="C17" s="26"/>
    </row>
    <row r="18" spans="2:3">
      <c r="B18" s="26"/>
      <c r="C18" s="26"/>
    </row>
    <row r="19" spans="2:3">
      <c r="B19" s="26"/>
      <c r="C19" s="26"/>
    </row>
    <row r="20" spans="2:3">
      <c r="B20" s="26"/>
      <c r="C20" s="26"/>
    </row>
    <row r="21" spans="2:3">
      <c r="B21" s="26"/>
      <c r="C21" s="26"/>
    </row>
    <row r="22" spans="2:3">
      <c r="B22" s="26"/>
      <c r="C22" s="26"/>
    </row>
    <row r="23" spans="2:3">
      <c r="B23" s="26"/>
      <c r="C23" s="26"/>
    </row>
    <row r="24" spans="2:3">
      <c r="B24" s="26"/>
      <c r="C24" s="26"/>
    </row>
    <row r="25" spans="2:3">
      <c r="B25" s="26"/>
      <c r="C25" s="26"/>
    </row>
    <row r="26" spans="2:3">
      <c r="B26" s="26"/>
      <c r="C26" s="26"/>
    </row>
    <row r="27" spans="2:3">
      <c r="B27" s="26"/>
      <c r="C27" s="26"/>
    </row>
    <row r="28" spans="2:3">
      <c r="B28" s="26"/>
      <c r="C28" s="26"/>
    </row>
    <row r="29" spans="2:3">
      <c r="B29" s="26"/>
      <c r="C29" s="26"/>
    </row>
    <row r="30" spans="2:3">
      <c r="B30" s="26"/>
      <c r="C30" s="26"/>
    </row>
    <row r="31" spans="2:3">
      <c r="B31" s="26"/>
      <c r="C31" s="26"/>
    </row>
    <row r="32" spans="2:3">
      <c r="B32" s="26"/>
      <c r="C32" s="26"/>
    </row>
    <row r="33" spans="2:3">
      <c r="B33" s="26"/>
      <c r="C33" s="26"/>
    </row>
    <row r="34" spans="2:3">
      <c r="B34" s="26"/>
      <c r="C34" s="26"/>
    </row>
    <row r="35" spans="2:3">
      <c r="B35" s="26"/>
      <c r="C35" s="26"/>
    </row>
    <row r="36" spans="2:3">
      <c r="B36" s="26"/>
      <c r="C36" s="26"/>
    </row>
    <row r="37" spans="2:3">
      <c r="B37" s="26"/>
      <c r="C37" s="26"/>
    </row>
    <row r="38" spans="2:3">
      <c r="B38" s="26"/>
      <c r="C38" s="26"/>
    </row>
    <row r="39" spans="2:3">
      <c r="B39" s="26"/>
      <c r="C39" s="26"/>
    </row>
    <row r="40" spans="2:3">
      <c r="B40" s="26"/>
      <c r="C40" s="26"/>
    </row>
    <row r="41" spans="2:3">
      <c r="B41" s="26"/>
      <c r="C41" s="26"/>
    </row>
    <row r="42" spans="2:3">
      <c r="B42" s="26"/>
      <c r="C42" s="26"/>
    </row>
    <row r="43" spans="2:3">
      <c r="B43" s="26"/>
      <c r="C43" s="26"/>
    </row>
    <row r="44" spans="2:3">
      <c r="B44" s="26"/>
      <c r="C44" s="26"/>
    </row>
  </sheetData>
  <mergeCells count="42">
    <mergeCell ref="B40:C40"/>
    <mergeCell ref="B41:C41"/>
    <mergeCell ref="B42:C42"/>
    <mergeCell ref="B43:C43"/>
    <mergeCell ref="B44:C44"/>
    <mergeCell ref="B39:C39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27:C27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1:C1"/>
    <mergeCell ref="B15:C15"/>
    <mergeCell ref="B2:C2"/>
    <mergeCell ref="B4:C4"/>
    <mergeCell ref="B6:C6"/>
    <mergeCell ref="B7:C7"/>
    <mergeCell ref="B8:C8"/>
    <mergeCell ref="B9:C9"/>
    <mergeCell ref="B10:C10"/>
    <mergeCell ref="B11:C11"/>
    <mergeCell ref="B12:C12"/>
    <mergeCell ref="B13:C13"/>
    <mergeCell ref="B14:C14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83346-6153-4E47-9BA9-652F77F7B722}">
  <dimension ref="A1:K159"/>
  <sheetViews>
    <sheetView workbookViewId="0">
      <pane ySplit="1" topLeftCell="A2" activePane="bottomLeft" state="frozen"/>
      <selection pane="bottomLeft" activeCell="E1" sqref="E1:E1048576"/>
    </sheetView>
  </sheetViews>
  <sheetFormatPr defaultRowHeight="22.9"/>
  <cols>
    <col min="1" max="1" width="9.0390625" style="1" customWidth="1"/>
    <col min="2" max="2" width="5.5390625" style="1" customWidth="1"/>
    <col min="3" max="36" width="8.5390625" style="1" customWidth="1"/>
    <col min="37" max="16384" width="8.6640625" style="1"/>
  </cols>
  <sheetData>
    <row r="1" spans="1:10" ht="23.25">
      <c r="A1" s="1" t="s">
        <v>0</v>
      </c>
      <c r="B1" s="1" t="s">
        <v>1</v>
      </c>
      <c r="C1" s="26" t="s">
        <v>94</v>
      </c>
      <c r="D1" s="26"/>
      <c r="E1" s="1" t="s">
        <v>79</v>
      </c>
      <c r="F1" s="1" t="s">
        <v>80</v>
      </c>
      <c r="G1" s="1" t="s">
        <v>83</v>
      </c>
      <c r="H1" s="1" t="s">
        <v>84</v>
      </c>
      <c r="I1" s="1" t="s">
        <v>81</v>
      </c>
      <c r="J1" s="1" t="s">
        <v>82</v>
      </c>
    </row>
    <row r="2" spans="1:10" ht="23.25">
      <c r="A2" s="1">
        <v>44000002</v>
      </c>
      <c r="B2" s="1" t="s">
        <v>2</v>
      </c>
      <c r="C2" s="26" t="s">
        <v>95</v>
      </c>
      <c r="D2" s="26"/>
    </row>
    <row r="3" spans="1:10" ht="23.25">
      <c r="A3" s="1">
        <v>44000003</v>
      </c>
      <c r="B3" s="1" t="s">
        <v>3</v>
      </c>
      <c r="C3" s="26" t="s">
        <v>96</v>
      </c>
      <c r="D3" s="26"/>
    </row>
    <row r="4" spans="1:10" ht="23.25">
      <c r="A4" s="1">
        <v>44000004</v>
      </c>
      <c r="B4" s="1" t="s">
        <v>4</v>
      </c>
      <c r="C4" s="26" t="s">
        <v>97</v>
      </c>
      <c r="D4" s="26"/>
    </row>
    <row r="5" spans="1:10" ht="23.25">
      <c r="A5" s="1">
        <v>44000005</v>
      </c>
      <c r="B5" s="1" t="s">
        <v>5</v>
      </c>
      <c r="C5" s="26" t="s">
        <v>98</v>
      </c>
      <c r="D5" s="26"/>
    </row>
    <row r="6" spans="1:10" ht="23.25">
      <c r="A6" s="1">
        <v>44000006</v>
      </c>
      <c r="B6" s="1" t="s">
        <v>6</v>
      </c>
      <c r="C6" s="26" t="s">
        <v>99</v>
      </c>
      <c r="D6" s="26"/>
    </row>
    <row r="7" spans="1:10" ht="23.25">
      <c r="A7" s="1">
        <v>44000007</v>
      </c>
      <c r="B7" s="1" t="s">
        <v>7</v>
      </c>
      <c r="C7" s="26" t="s">
        <v>100</v>
      </c>
      <c r="D7" s="26"/>
    </row>
    <row r="8" spans="1:10" ht="23.25">
      <c r="A8" s="1">
        <v>44000008</v>
      </c>
      <c r="B8" s="1" t="s">
        <v>8</v>
      </c>
      <c r="C8" s="26" t="s">
        <v>101</v>
      </c>
      <c r="D8" s="26"/>
    </row>
    <row r="10" spans="1:10" ht="23.25">
      <c r="A10" s="1">
        <v>44000009</v>
      </c>
      <c r="B10" s="1" t="s">
        <v>9</v>
      </c>
      <c r="C10" s="26" t="s">
        <v>102</v>
      </c>
      <c r="D10" s="26"/>
    </row>
    <row r="11" spans="1:10" ht="23.25">
      <c r="A11" s="1">
        <v>44000010</v>
      </c>
      <c r="B11" s="1" t="s">
        <v>10</v>
      </c>
      <c r="C11" s="26" t="s">
        <v>103</v>
      </c>
      <c r="D11" s="26"/>
    </row>
    <row r="12" spans="1:10" ht="23.25">
      <c r="A12" s="1">
        <v>44000011</v>
      </c>
      <c r="B12" s="1" t="s">
        <v>11</v>
      </c>
      <c r="C12" s="26" t="s">
        <v>104</v>
      </c>
      <c r="D12" s="26"/>
    </row>
    <row r="13" spans="1:10" ht="23.25">
      <c r="A13" s="1">
        <v>44000012</v>
      </c>
      <c r="B13" s="1" t="s">
        <v>12</v>
      </c>
      <c r="C13" s="26" t="s">
        <v>105</v>
      </c>
      <c r="D13" s="26"/>
    </row>
    <row r="14" spans="1:10" ht="23.25">
      <c r="A14" s="1">
        <v>44000013</v>
      </c>
      <c r="B14" s="1" t="s">
        <v>13</v>
      </c>
      <c r="C14" s="26" t="s">
        <v>106</v>
      </c>
      <c r="D14" s="26"/>
    </row>
    <row r="15" spans="1:10" ht="23.25">
      <c r="A15" s="1">
        <v>44000015</v>
      </c>
      <c r="B15" s="1" t="s">
        <v>14</v>
      </c>
      <c r="C15" s="26" t="s">
        <v>107</v>
      </c>
      <c r="D15" s="26"/>
    </row>
    <row r="17" spans="1:4" ht="23.25">
      <c r="A17" s="1">
        <v>44000016</v>
      </c>
      <c r="B17" s="1" t="s">
        <v>15</v>
      </c>
      <c r="C17" s="26" t="s">
        <v>108</v>
      </c>
      <c r="D17" s="26"/>
    </row>
    <row r="18" spans="1:4" ht="23.25">
      <c r="A18" s="1">
        <v>44000017</v>
      </c>
      <c r="B18" s="1" t="s">
        <v>16</v>
      </c>
      <c r="C18" s="26" t="s">
        <v>109</v>
      </c>
      <c r="D18" s="26"/>
    </row>
    <row r="19" spans="1:4" ht="23.25">
      <c r="A19" s="1">
        <v>44000018</v>
      </c>
      <c r="B19" s="1" t="s">
        <v>17</v>
      </c>
      <c r="C19" s="26" t="s">
        <v>110</v>
      </c>
      <c r="D19" s="26"/>
    </row>
    <row r="20" spans="1:4" ht="23.25">
      <c r="A20" s="1">
        <v>44000019</v>
      </c>
      <c r="B20" s="1" t="s">
        <v>18</v>
      </c>
      <c r="C20" s="26" t="s">
        <v>111</v>
      </c>
      <c r="D20" s="26"/>
    </row>
    <row r="21" spans="1:4" ht="23.25">
      <c r="A21" s="1">
        <v>44000020</v>
      </c>
      <c r="B21" s="1" t="s">
        <v>19</v>
      </c>
      <c r="C21" s="26" t="s">
        <v>112</v>
      </c>
      <c r="D21" s="26"/>
    </row>
    <row r="22" spans="1:4" ht="23.25">
      <c r="A22" s="1">
        <v>44000021</v>
      </c>
      <c r="B22" s="1" t="s">
        <v>20</v>
      </c>
      <c r="C22" s="26" t="s">
        <v>113</v>
      </c>
      <c r="D22" s="26"/>
    </row>
    <row r="24" spans="1:4" ht="23.25">
      <c r="A24" s="1">
        <v>44000022</v>
      </c>
      <c r="B24" s="1" t="s">
        <v>21</v>
      </c>
      <c r="C24" s="26" t="s">
        <v>114</v>
      </c>
      <c r="D24" s="26"/>
    </row>
    <row r="25" spans="1:4" ht="23.25">
      <c r="A25" s="1">
        <v>44000023</v>
      </c>
      <c r="B25" s="1" t="s">
        <v>22</v>
      </c>
      <c r="C25" s="26" t="s">
        <v>115</v>
      </c>
      <c r="D25" s="26"/>
    </row>
    <row r="26" spans="1:4" ht="29.25">
      <c r="A26" s="1">
        <v>44000024</v>
      </c>
      <c r="B26" s="1" t="s">
        <v>23</v>
      </c>
      <c r="C26" s="26" t="s">
        <v>116</v>
      </c>
      <c r="D26" s="26"/>
    </row>
    <row r="27" spans="1:4" ht="23.25">
      <c r="A27" s="1">
        <v>44000025</v>
      </c>
      <c r="B27" s="1" t="s">
        <v>24</v>
      </c>
      <c r="C27" s="26" t="s">
        <v>117</v>
      </c>
      <c r="D27" s="26"/>
    </row>
    <row r="28" spans="1:4" ht="23.25">
      <c r="A28" s="1">
        <v>44000026</v>
      </c>
      <c r="B28" s="1" t="s">
        <v>25</v>
      </c>
      <c r="C28" s="26" t="s">
        <v>118</v>
      </c>
      <c r="D28" s="26"/>
    </row>
    <row r="29" spans="1:4">
      <c r="A29" s="1">
        <v>44000034</v>
      </c>
      <c r="B29" s="2" t="s">
        <v>26</v>
      </c>
      <c r="C29" s="26"/>
      <c r="D29" s="26"/>
    </row>
    <row r="30" spans="1:4" ht="23.25">
      <c r="A30" s="1">
        <v>44000035</v>
      </c>
      <c r="B30" s="2" t="s">
        <v>27</v>
      </c>
      <c r="C30" s="38" t="s">
        <v>119</v>
      </c>
      <c r="D30" s="38"/>
    </row>
    <row r="31" spans="1:4" ht="23.25">
      <c r="A31" s="1">
        <v>44000036</v>
      </c>
      <c r="B31" s="1" t="s">
        <v>28</v>
      </c>
      <c r="C31" s="26" t="s">
        <v>120</v>
      </c>
      <c r="D31" s="26"/>
    </row>
    <row r="33" spans="1:4">
      <c r="A33" s="1">
        <v>44000037</v>
      </c>
      <c r="B33" s="2" t="s">
        <v>29</v>
      </c>
      <c r="C33" s="26"/>
      <c r="D33" s="26"/>
    </row>
    <row r="34" spans="1:4" ht="23.25">
      <c r="A34" s="1">
        <v>44000038</v>
      </c>
      <c r="B34" s="1" t="s">
        <v>30</v>
      </c>
      <c r="C34" s="26" t="s">
        <v>121</v>
      </c>
      <c r="D34" s="26"/>
    </row>
    <row r="35" spans="1:4" ht="23.25">
      <c r="A35" s="1">
        <v>44000039</v>
      </c>
      <c r="B35" s="1" t="s">
        <v>31</v>
      </c>
      <c r="C35" s="26" t="s">
        <v>122</v>
      </c>
      <c r="D35" s="26"/>
    </row>
    <row r="36" spans="1:4" ht="23.25">
      <c r="A36" s="1">
        <v>44000040</v>
      </c>
      <c r="B36" s="1" t="s">
        <v>32</v>
      </c>
      <c r="C36" s="26" t="s">
        <v>123</v>
      </c>
      <c r="D36" s="26"/>
    </row>
    <row r="37" spans="1:4" ht="23.25">
      <c r="A37" s="1">
        <v>44000041</v>
      </c>
      <c r="B37" s="1" t="s">
        <v>33</v>
      </c>
      <c r="C37" s="26" t="s">
        <v>124</v>
      </c>
      <c r="D37" s="26"/>
    </row>
    <row r="38" spans="1:4" ht="23.25">
      <c r="A38" s="1">
        <v>44000042</v>
      </c>
      <c r="B38" s="1" t="s">
        <v>34</v>
      </c>
      <c r="C38" s="26" t="s">
        <v>125</v>
      </c>
      <c r="D38" s="26"/>
    </row>
    <row r="39" spans="1:4" ht="23.25">
      <c r="A39" s="1">
        <v>44000043</v>
      </c>
      <c r="B39" s="1" t="s">
        <v>35</v>
      </c>
      <c r="C39" s="26" t="s">
        <v>126</v>
      </c>
      <c r="D39" s="26"/>
    </row>
    <row r="41" spans="1:4" ht="23.25">
      <c r="A41" s="1">
        <v>44000044</v>
      </c>
      <c r="B41" s="1" t="s">
        <v>36</v>
      </c>
      <c r="C41" s="26" t="s">
        <v>37</v>
      </c>
      <c r="D41" s="26"/>
    </row>
    <row r="42" spans="1:4" ht="23.25">
      <c r="A42" s="1">
        <v>44000045</v>
      </c>
      <c r="B42" s="1" t="s">
        <v>38</v>
      </c>
      <c r="C42" s="26" t="s">
        <v>39</v>
      </c>
      <c r="D42" s="26"/>
    </row>
    <row r="43" spans="1:4" ht="23.25">
      <c r="A43" s="1">
        <v>44000046</v>
      </c>
      <c r="B43" s="1" t="s">
        <v>40</v>
      </c>
      <c r="C43" s="26" t="s">
        <v>41</v>
      </c>
      <c r="D43" s="26"/>
    </row>
    <row r="44" spans="1:4" ht="23.25">
      <c r="A44" s="1">
        <v>44000047</v>
      </c>
      <c r="B44" s="1" t="s">
        <v>42</v>
      </c>
      <c r="C44" s="26" t="s">
        <v>43</v>
      </c>
      <c r="D44" s="26"/>
    </row>
    <row r="45" spans="1:4" ht="23.25">
      <c r="A45" s="1">
        <v>44000048</v>
      </c>
      <c r="B45" s="1" t="s">
        <v>44</v>
      </c>
      <c r="C45" s="26" t="s">
        <v>45</v>
      </c>
      <c r="D45" s="26"/>
    </row>
    <row r="46" spans="1:4" ht="23.25">
      <c r="A46" s="1">
        <v>44000049</v>
      </c>
      <c r="B46" s="1" t="s">
        <v>46</v>
      </c>
      <c r="C46" s="26" t="s">
        <v>47</v>
      </c>
      <c r="D46" s="26"/>
    </row>
    <row r="48" spans="1:4" ht="23.25">
      <c r="A48" s="1">
        <v>44000050</v>
      </c>
      <c r="B48" s="1" t="s">
        <v>48</v>
      </c>
      <c r="C48" s="26" t="s">
        <v>49</v>
      </c>
      <c r="D48" s="26"/>
    </row>
    <row r="49" spans="1:4" ht="23.25">
      <c r="A49" s="1">
        <v>44000051</v>
      </c>
      <c r="B49" s="1" t="s">
        <v>50</v>
      </c>
      <c r="C49" s="26" t="s">
        <v>51</v>
      </c>
      <c r="D49" s="26"/>
    </row>
    <row r="50" spans="1:4" ht="23.25">
      <c r="A50" s="1">
        <v>44000052</v>
      </c>
      <c r="B50" s="1" t="s">
        <v>52</v>
      </c>
      <c r="C50" s="26" t="s">
        <v>53</v>
      </c>
      <c r="D50" s="26"/>
    </row>
    <row r="51" spans="1:4" ht="23.25">
      <c r="A51" s="1">
        <v>44000053</v>
      </c>
      <c r="B51" s="1" t="s">
        <v>54</v>
      </c>
      <c r="C51" s="26" t="s">
        <v>55</v>
      </c>
      <c r="D51" s="26"/>
    </row>
    <row r="52" spans="1:4" ht="23.25">
      <c r="A52" s="1">
        <v>44000054</v>
      </c>
      <c r="B52" s="1" t="s">
        <v>56</v>
      </c>
      <c r="C52" s="26" t="s">
        <v>57</v>
      </c>
      <c r="D52" s="26"/>
    </row>
    <row r="53" spans="1:4" ht="23.25">
      <c r="A53" s="1">
        <v>44000055</v>
      </c>
      <c r="B53" s="1" t="s">
        <v>58</v>
      </c>
      <c r="C53" s="26" t="s">
        <v>59</v>
      </c>
      <c r="D53" s="26"/>
    </row>
    <row r="55" spans="1:4" ht="29.25">
      <c r="A55" s="1">
        <v>44000056</v>
      </c>
      <c r="B55" s="1" t="s">
        <v>60</v>
      </c>
      <c r="C55" s="26" t="s">
        <v>61</v>
      </c>
      <c r="D55" s="26"/>
    </row>
    <row r="56" spans="1:4" ht="23.25">
      <c r="A56" s="1">
        <v>44000057</v>
      </c>
      <c r="B56" s="1" t="s">
        <v>62</v>
      </c>
      <c r="C56" s="26" t="s">
        <v>63</v>
      </c>
      <c r="D56" s="26"/>
    </row>
    <row r="57" spans="1:4" ht="29.25">
      <c r="A57" s="1">
        <v>44000058</v>
      </c>
      <c r="B57" s="1" t="s">
        <v>64</v>
      </c>
      <c r="C57" s="26" t="s">
        <v>65</v>
      </c>
      <c r="D57" s="26"/>
    </row>
    <row r="58" spans="1:4" ht="29.25">
      <c r="A58" s="1">
        <v>44000059</v>
      </c>
      <c r="B58" s="1" t="s">
        <v>66</v>
      </c>
      <c r="C58" s="26" t="s">
        <v>67</v>
      </c>
      <c r="D58" s="26"/>
    </row>
    <row r="59" spans="1:4" ht="29.25">
      <c r="A59" s="1">
        <v>44000060</v>
      </c>
      <c r="B59" s="1" t="s">
        <v>68</v>
      </c>
      <c r="C59" s="26" t="s">
        <v>69</v>
      </c>
      <c r="D59" s="26"/>
    </row>
    <row r="60" spans="1:4" ht="29.25">
      <c r="A60" s="1">
        <v>44000061</v>
      </c>
      <c r="B60" s="1" t="s">
        <v>70</v>
      </c>
      <c r="C60" s="26" t="s">
        <v>71</v>
      </c>
      <c r="D60" s="26"/>
    </row>
    <row r="62" spans="1:4" ht="23.25">
      <c r="A62" s="1">
        <v>44000062</v>
      </c>
      <c r="B62" s="1" t="s">
        <v>72</v>
      </c>
      <c r="C62" s="26" t="s">
        <v>127</v>
      </c>
      <c r="D62" s="26"/>
    </row>
    <row r="63" spans="1:4" ht="23.25">
      <c r="A63" s="1">
        <v>44000063</v>
      </c>
      <c r="B63" s="1" t="s">
        <v>73</v>
      </c>
      <c r="C63" s="26" t="s">
        <v>128</v>
      </c>
      <c r="D63" s="26"/>
    </row>
    <row r="64" spans="1:4" ht="23.25">
      <c r="A64" s="1">
        <v>44000064</v>
      </c>
      <c r="B64" s="1" t="s">
        <v>74</v>
      </c>
      <c r="C64" s="26" t="s">
        <v>129</v>
      </c>
      <c r="D64" s="26"/>
    </row>
    <row r="65" spans="1:11" ht="23.25">
      <c r="A65" s="1">
        <v>44000065</v>
      </c>
      <c r="B65" s="1" t="s">
        <v>75</v>
      </c>
      <c r="C65" s="26" t="s">
        <v>130</v>
      </c>
      <c r="D65" s="26"/>
    </row>
    <row r="66" spans="1:11" ht="23.25">
      <c r="A66" s="1">
        <v>44000066</v>
      </c>
      <c r="B66" s="1" t="s">
        <v>76</v>
      </c>
      <c r="C66" s="26" t="s">
        <v>131</v>
      </c>
      <c r="D66" s="26"/>
    </row>
    <row r="67" spans="1:11" ht="23.25">
      <c r="A67" s="1">
        <v>44000067</v>
      </c>
      <c r="B67" s="1" t="s">
        <v>77</v>
      </c>
      <c r="C67" s="26" t="s">
        <v>132</v>
      </c>
      <c r="D67" s="26"/>
    </row>
    <row r="68" spans="1:11" ht="23.25">
      <c r="A68" s="1">
        <v>44000068</v>
      </c>
      <c r="B68" s="1" t="s">
        <v>78</v>
      </c>
      <c r="C68" s="26" t="s">
        <v>133</v>
      </c>
      <c r="D68" s="26"/>
    </row>
    <row r="69" spans="1:11">
      <c r="C69" s="26"/>
      <c r="D69" s="26"/>
    </row>
    <row r="70" spans="1:11">
      <c r="C70" s="26"/>
      <c r="D70" s="26"/>
    </row>
    <row r="71" spans="1:11">
      <c r="C71" s="26"/>
      <c r="D71" s="26"/>
    </row>
    <row r="72" spans="1:11" ht="23.25">
      <c r="C72" s="26" t="s">
        <v>134</v>
      </c>
      <c r="D72" s="26"/>
      <c r="E72" s="1">
        <v>51</v>
      </c>
      <c r="F72" s="1">
        <v>40</v>
      </c>
      <c r="G72" s="1">
        <v>40</v>
      </c>
      <c r="H72" s="1">
        <v>40</v>
      </c>
      <c r="I72" s="1">
        <v>40</v>
      </c>
      <c r="J72" s="1">
        <v>40</v>
      </c>
    </row>
    <row r="73" spans="1:11" ht="23.25">
      <c r="C73" s="26" t="s">
        <v>135</v>
      </c>
      <c r="D73" s="26"/>
      <c r="E73" s="1">
        <v>40</v>
      </c>
      <c r="F73" s="1">
        <v>51</v>
      </c>
      <c r="G73" s="1">
        <v>40</v>
      </c>
      <c r="H73" s="1">
        <v>40</v>
      </c>
      <c r="I73" s="1">
        <v>40</v>
      </c>
      <c r="J73" s="1">
        <v>40</v>
      </c>
    </row>
    <row r="74" spans="1:11" ht="23.25">
      <c r="C74" s="26" t="s">
        <v>136</v>
      </c>
      <c r="D74" s="26"/>
      <c r="E74" s="1">
        <v>39</v>
      </c>
      <c r="F74" s="1">
        <v>39</v>
      </c>
      <c r="G74" s="1">
        <v>39</v>
      </c>
      <c r="H74" s="1">
        <v>39</v>
      </c>
      <c r="I74" s="1">
        <v>53</v>
      </c>
      <c r="J74" s="1">
        <v>39</v>
      </c>
    </row>
    <row r="75" spans="1:11" ht="23.25">
      <c r="C75" s="26" t="s">
        <v>137</v>
      </c>
      <c r="D75" s="26"/>
      <c r="E75" s="1">
        <v>40</v>
      </c>
      <c r="F75" s="1">
        <v>40</v>
      </c>
      <c r="G75" s="1">
        <v>46</v>
      </c>
      <c r="H75" s="1">
        <v>46</v>
      </c>
      <c r="I75" s="1">
        <v>40</v>
      </c>
      <c r="J75" s="1">
        <v>40</v>
      </c>
    </row>
    <row r="76" spans="1:11" ht="23.25">
      <c r="C76" s="26" t="s">
        <v>138</v>
      </c>
      <c r="D76" s="26"/>
      <c r="E76" s="1">
        <v>43</v>
      </c>
      <c r="F76" s="1">
        <v>43</v>
      </c>
      <c r="G76" s="1">
        <v>43</v>
      </c>
      <c r="H76" s="1">
        <v>43</v>
      </c>
      <c r="I76" s="1">
        <v>43</v>
      </c>
      <c r="J76" s="1">
        <v>43</v>
      </c>
    </row>
    <row r="77" spans="1:11">
      <c r="C77" s="26"/>
      <c r="D77" s="26"/>
    </row>
    <row r="78" spans="1:11" ht="23.25">
      <c r="C78" s="26" t="s">
        <v>139</v>
      </c>
      <c r="D78" s="26"/>
      <c r="E78" s="1">
        <v>9</v>
      </c>
      <c r="K78" s="1" t="s">
        <v>143</v>
      </c>
    </row>
    <row r="79" spans="1:11" ht="23.25">
      <c r="C79" s="26" t="s">
        <v>140</v>
      </c>
      <c r="D79" s="26"/>
      <c r="F79" s="1">
        <v>9</v>
      </c>
      <c r="K79" s="1" t="s">
        <v>143</v>
      </c>
    </row>
    <row r="80" spans="1:11" ht="23.25">
      <c r="C80" s="26" t="s">
        <v>141</v>
      </c>
      <c r="D80" s="26"/>
      <c r="I80" s="1">
        <v>9</v>
      </c>
      <c r="K80" s="1" t="s">
        <v>143</v>
      </c>
    </row>
    <row r="81" spans="3:11" ht="23.25">
      <c r="C81" s="26" t="s">
        <v>142</v>
      </c>
      <c r="D81" s="26"/>
      <c r="G81" s="1">
        <v>9</v>
      </c>
      <c r="K81" s="1" t="s">
        <v>144</v>
      </c>
    </row>
    <row r="82" spans="3:11">
      <c r="C82" s="26"/>
      <c r="D82" s="26"/>
    </row>
    <row r="83" spans="3:11" ht="23.25">
      <c r="C83" s="26" t="s">
        <v>145</v>
      </c>
      <c r="D83" s="26"/>
      <c r="E83" s="1">
        <v>5</v>
      </c>
      <c r="F83" s="1">
        <v>5</v>
      </c>
    </row>
    <row r="84" spans="3:11" ht="23.25">
      <c r="C84" s="26" t="s">
        <v>146</v>
      </c>
      <c r="D84" s="26"/>
      <c r="G84" s="1">
        <v>5</v>
      </c>
      <c r="H84" s="1">
        <v>5</v>
      </c>
    </row>
    <row r="85" spans="3:11" ht="23.25">
      <c r="C85" s="26" t="s">
        <v>147</v>
      </c>
      <c r="D85" s="26"/>
      <c r="I85" s="1">
        <v>7</v>
      </c>
    </row>
    <row r="86" spans="3:11">
      <c r="C86" s="26"/>
      <c r="D86" s="26"/>
    </row>
    <row r="87" spans="3:11">
      <c r="C87" s="26"/>
      <c r="D87" s="26"/>
    </row>
    <row r="88" spans="3:11">
      <c r="C88" s="26"/>
      <c r="D88" s="26"/>
    </row>
    <row r="89" spans="3:11">
      <c r="C89" s="26"/>
      <c r="D89" s="26"/>
    </row>
    <row r="90" spans="3:11">
      <c r="C90" s="26"/>
      <c r="D90" s="26"/>
    </row>
    <row r="91" spans="3:11">
      <c r="C91" s="26"/>
      <c r="D91" s="26"/>
    </row>
    <row r="92" spans="3:11">
      <c r="C92" s="26"/>
      <c r="D92" s="26"/>
    </row>
    <row r="93" spans="3:11">
      <c r="C93" s="26"/>
      <c r="D93" s="26"/>
    </row>
    <row r="94" spans="3:11">
      <c r="C94" s="26"/>
      <c r="D94" s="26"/>
    </row>
    <row r="95" spans="3:11">
      <c r="C95" s="26"/>
      <c r="D95" s="26"/>
    </row>
    <row r="96" spans="3:11">
      <c r="C96" s="26"/>
      <c r="D96" s="26"/>
    </row>
    <row r="97" spans="3:4">
      <c r="C97" s="26"/>
      <c r="D97" s="26"/>
    </row>
    <row r="98" spans="3:4">
      <c r="C98" s="26"/>
      <c r="D98" s="26"/>
    </row>
    <row r="99" spans="3:4">
      <c r="C99" s="26"/>
      <c r="D99" s="26"/>
    </row>
    <row r="100" spans="3:4">
      <c r="C100" s="26"/>
      <c r="D100" s="26"/>
    </row>
    <row r="101" spans="3:4">
      <c r="C101" s="26"/>
      <c r="D101" s="26"/>
    </row>
    <row r="102" spans="3:4">
      <c r="C102" s="26"/>
      <c r="D102" s="26"/>
    </row>
    <row r="103" spans="3:4">
      <c r="C103" s="26"/>
      <c r="D103" s="26"/>
    </row>
    <row r="104" spans="3:4">
      <c r="C104" s="26"/>
      <c r="D104" s="26"/>
    </row>
    <row r="105" spans="3:4">
      <c r="C105" s="26"/>
      <c r="D105" s="26"/>
    </row>
    <row r="106" spans="3:4">
      <c r="C106" s="26"/>
      <c r="D106" s="26"/>
    </row>
    <row r="107" spans="3:4">
      <c r="C107" s="26"/>
      <c r="D107" s="26"/>
    </row>
    <row r="108" spans="3:4">
      <c r="C108" s="26"/>
      <c r="D108" s="26"/>
    </row>
    <row r="109" spans="3:4">
      <c r="C109" s="26"/>
      <c r="D109" s="26"/>
    </row>
    <row r="110" spans="3:4">
      <c r="C110" s="26"/>
      <c r="D110" s="26"/>
    </row>
    <row r="111" spans="3:4">
      <c r="C111" s="26"/>
      <c r="D111" s="26"/>
    </row>
    <row r="112" spans="3:4">
      <c r="C112" s="26"/>
      <c r="D112" s="26"/>
    </row>
    <row r="113" spans="3:4">
      <c r="C113" s="26"/>
      <c r="D113" s="26"/>
    </row>
    <row r="114" spans="3:4">
      <c r="C114" s="26"/>
      <c r="D114" s="26"/>
    </row>
    <row r="115" spans="3:4">
      <c r="C115" s="26"/>
      <c r="D115" s="26"/>
    </row>
    <row r="116" spans="3:4">
      <c r="C116" s="26"/>
      <c r="D116" s="26"/>
    </row>
    <row r="117" spans="3:4">
      <c r="C117" s="26"/>
      <c r="D117" s="26"/>
    </row>
    <row r="118" spans="3:4">
      <c r="C118" s="26"/>
      <c r="D118" s="26"/>
    </row>
    <row r="119" spans="3:4">
      <c r="C119" s="26"/>
      <c r="D119" s="26"/>
    </row>
    <row r="120" spans="3:4">
      <c r="C120" s="26"/>
      <c r="D120" s="26"/>
    </row>
    <row r="121" spans="3:4">
      <c r="C121" s="26"/>
      <c r="D121" s="26"/>
    </row>
    <row r="122" spans="3:4">
      <c r="C122" s="26"/>
      <c r="D122" s="26"/>
    </row>
    <row r="123" spans="3:4">
      <c r="C123" s="26"/>
      <c r="D123" s="26"/>
    </row>
    <row r="124" spans="3:4">
      <c r="C124" s="26"/>
      <c r="D124" s="26"/>
    </row>
    <row r="125" spans="3:4">
      <c r="C125" s="26"/>
      <c r="D125" s="26"/>
    </row>
    <row r="126" spans="3:4">
      <c r="C126" s="26"/>
      <c r="D126" s="26"/>
    </row>
    <row r="127" spans="3:4">
      <c r="C127" s="26"/>
      <c r="D127" s="26"/>
    </row>
    <row r="128" spans="3:4">
      <c r="C128" s="26"/>
      <c r="D128" s="26"/>
    </row>
    <row r="129" spans="3:4">
      <c r="C129" s="26"/>
      <c r="D129" s="26"/>
    </row>
    <row r="130" spans="3:4">
      <c r="C130" s="26"/>
      <c r="D130" s="26"/>
    </row>
    <row r="131" spans="3:4">
      <c r="C131" s="26"/>
      <c r="D131" s="26"/>
    </row>
    <row r="132" spans="3:4">
      <c r="C132" s="26"/>
      <c r="D132" s="26"/>
    </row>
    <row r="133" spans="3:4">
      <c r="C133" s="26"/>
      <c r="D133" s="26"/>
    </row>
    <row r="134" spans="3:4">
      <c r="C134" s="26"/>
      <c r="D134" s="26"/>
    </row>
    <row r="135" spans="3:4">
      <c r="C135" s="26"/>
      <c r="D135" s="26"/>
    </row>
    <row r="136" spans="3:4">
      <c r="C136" s="26"/>
      <c r="D136" s="26"/>
    </row>
    <row r="137" spans="3:4">
      <c r="C137" s="26"/>
      <c r="D137" s="26"/>
    </row>
    <row r="138" spans="3:4">
      <c r="C138" s="26"/>
      <c r="D138" s="26"/>
    </row>
    <row r="139" spans="3:4">
      <c r="C139" s="26"/>
      <c r="D139" s="26"/>
    </row>
    <row r="140" spans="3:4">
      <c r="C140" s="26"/>
      <c r="D140" s="26"/>
    </row>
    <row r="141" spans="3:4">
      <c r="C141" s="26"/>
      <c r="D141" s="26"/>
    </row>
    <row r="142" spans="3:4">
      <c r="C142" s="26"/>
      <c r="D142" s="26"/>
    </row>
    <row r="143" spans="3:4">
      <c r="C143" s="26"/>
      <c r="D143" s="26"/>
    </row>
    <row r="144" spans="3:4">
      <c r="C144" s="26"/>
      <c r="D144" s="26"/>
    </row>
    <row r="145" spans="3:4">
      <c r="C145" s="26"/>
      <c r="D145" s="26"/>
    </row>
    <row r="146" spans="3:4">
      <c r="C146" s="26"/>
      <c r="D146" s="26"/>
    </row>
    <row r="147" spans="3:4">
      <c r="C147" s="26"/>
      <c r="D147" s="26"/>
    </row>
    <row r="148" spans="3:4">
      <c r="C148" s="26"/>
      <c r="D148" s="26"/>
    </row>
    <row r="149" spans="3:4">
      <c r="C149" s="26"/>
      <c r="D149" s="26"/>
    </row>
    <row r="150" spans="3:4">
      <c r="C150" s="26"/>
      <c r="D150" s="26"/>
    </row>
    <row r="151" spans="3:4">
      <c r="C151" s="26"/>
      <c r="D151" s="26"/>
    </row>
    <row r="152" spans="3:4">
      <c r="C152" s="26"/>
      <c r="D152" s="26"/>
    </row>
    <row r="153" spans="3:4">
      <c r="C153" s="26"/>
      <c r="D153" s="26"/>
    </row>
    <row r="154" spans="3:4">
      <c r="C154" s="26"/>
      <c r="D154" s="26"/>
    </row>
    <row r="155" spans="3:4">
      <c r="C155" s="26"/>
      <c r="D155" s="26"/>
    </row>
    <row r="156" spans="3:4">
      <c r="C156" s="26"/>
      <c r="D156" s="26"/>
    </row>
    <row r="157" spans="3:4">
      <c r="C157" s="26"/>
      <c r="D157" s="26"/>
    </row>
    <row r="158" spans="3:4">
      <c r="C158" s="26"/>
      <c r="D158" s="26"/>
    </row>
    <row r="159" spans="3:4">
      <c r="C159" s="26"/>
      <c r="D159" s="26"/>
    </row>
  </sheetData>
  <mergeCells count="151">
    <mergeCell ref="C1:D1"/>
    <mergeCell ref="C2:D2"/>
    <mergeCell ref="C3:D3"/>
    <mergeCell ref="C4:D4"/>
    <mergeCell ref="C5:D5"/>
    <mergeCell ref="C6:D6"/>
    <mergeCell ref="C14:D14"/>
    <mergeCell ref="C15:D15"/>
    <mergeCell ref="C17:D17"/>
    <mergeCell ref="C18:D18"/>
    <mergeCell ref="C19:D19"/>
    <mergeCell ref="C20:D20"/>
    <mergeCell ref="C7:D7"/>
    <mergeCell ref="C8:D8"/>
    <mergeCell ref="C10:D10"/>
    <mergeCell ref="C11:D11"/>
    <mergeCell ref="C12:D12"/>
    <mergeCell ref="C13:D13"/>
    <mergeCell ref="C28:D28"/>
    <mergeCell ref="C29:D29"/>
    <mergeCell ref="C30:D30"/>
    <mergeCell ref="C31:D31"/>
    <mergeCell ref="C33:D33"/>
    <mergeCell ref="C34:D34"/>
    <mergeCell ref="C21:D21"/>
    <mergeCell ref="C22:D22"/>
    <mergeCell ref="C24:D24"/>
    <mergeCell ref="C25:D25"/>
    <mergeCell ref="C26:D26"/>
    <mergeCell ref="C27:D27"/>
    <mergeCell ref="C42:D42"/>
    <mergeCell ref="C43:D43"/>
    <mergeCell ref="C44:D44"/>
    <mergeCell ref="C45:D45"/>
    <mergeCell ref="C46:D46"/>
    <mergeCell ref="C48:D48"/>
    <mergeCell ref="C35:D35"/>
    <mergeCell ref="C36:D36"/>
    <mergeCell ref="C37:D37"/>
    <mergeCell ref="C38:D38"/>
    <mergeCell ref="C39:D39"/>
    <mergeCell ref="C41:D41"/>
    <mergeCell ref="C56:D56"/>
    <mergeCell ref="C57:D57"/>
    <mergeCell ref="C58:D58"/>
    <mergeCell ref="C59:D59"/>
    <mergeCell ref="C60:D60"/>
    <mergeCell ref="C62:D62"/>
    <mergeCell ref="C49:D49"/>
    <mergeCell ref="C50:D50"/>
    <mergeCell ref="C51:D51"/>
    <mergeCell ref="C52:D52"/>
    <mergeCell ref="C53:D53"/>
    <mergeCell ref="C55:D55"/>
    <mergeCell ref="C69:D69"/>
    <mergeCell ref="C70:D70"/>
    <mergeCell ref="C63:D63"/>
    <mergeCell ref="C64:D64"/>
    <mergeCell ref="C65:D65"/>
    <mergeCell ref="C66:D66"/>
    <mergeCell ref="C67:D67"/>
    <mergeCell ref="C68:D68"/>
    <mergeCell ref="C71:D71"/>
    <mergeCell ref="C72:D72"/>
    <mergeCell ref="C73:D73"/>
    <mergeCell ref="C74:D74"/>
    <mergeCell ref="C75:D75"/>
    <mergeCell ref="C76:D76"/>
    <mergeCell ref="C83:D83"/>
    <mergeCell ref="C84:D84"/>
    <mergeCell ref="C85:D85"/>
    <mergeCell ref="C86:D86"/>
    <mergeCell ref="C87:D87"/>
    <mergeCell ref="C88:D88"/>
    <mergeCell ref="C77:D77"/>
    <mergeCell ref="C78:D78"/>
    <mergeCell ref="C79:D79"/>
    <mergeCell ref="C80:D80"/>
    <mergeCell ref="C81:D81"/>
    <mergeCell ref="C82:D82"/>
    <mergeCell ref="C95:D95"/>
    <mergeCell ref="C96:D96"/>
    <mergeCell ref="C97:D97"/>
    <mergeCell ref="C98:D98"/>
    <mergeCell ref="C99:D99"/>
    <mergeCell ref="C100:D100"/>
    <mergeCell ref="C89:D89"/>
    <mergeCell ref="C90:D90"/>
    <mergeCell ref="C91:D91"/>
    <mergeCell ref="C92:D92"/>
    <mergeCell ref="C93:D93"/>
    <mergeCell ref="C94:D94"/>
    <mergeCell ref="C107:D107"/>
    <mergeCell ref="C108:D108"/>
    <mergeCell ref="C109:D109"/>
    <mergeCell ref="C110:D110"/>
    <mergeCell ref="C111:D111"/>
    <mergeCell ref="C112:D112"/>
    <mergeCell ref="C101:D101"/>
    <mergeCell ref="C102:D102"/>
    <mergeCell ref="C103:D103"/>
    <mergeCell ref="C104:D104"/>
    <mergeCell ref="C105:D105"/>
    <mergeCell ref="C106:D106"/>
    <mergeCell ref="C119:D119"/>
    <mergeCell ref="C120:D120"/>
    <mergeCell ref="C121:D121"/>
    <mergeCell ref="C122:D122"/>
    <mergeCell ref="C123:D123"/>
    <mergeCell ref="C124:D124"/>
    <mergeCell ref="C113:D113"/>
    <mergeCell ref="C114:D114"/>
    <mergeCell ref="C115:D115"/>
    <mergeCell ref="C116:D116"/>
    <mergeCell ref="C117:D117"/>
    <mergeCell ref="C118:D118"/>
    <mergeCell ref="C131:D131"/>
    <mergeCell ref="C132:D132"/>
    <mergeCell ref="C133:D133"/>
    <mergeCell ref="C134:D134"/>
    <mergeCell ref="C135:D135"/>
    <mergeCell ref="C136:D136"/>
    <mergeCell ref="C125:D125"/>
    <mergeCell ref="C126:D126"/>
    <mergeCell ref="C127:D127"/>
    <mergeCell ref="C128:D128"/>
    <mergeCell ref="C129:D129"/>
    <mergeCell ref="C130:D130"/>
    <mergeCell ref="C143:D143"/>
    <mergeCell ref="C144:D144"/>
    <mergeCell ref="C145:D145"/>
    <mergeCell ref="C146:D146"/>
    <mergeCell ref="C147:D147"/>
    <mergeCell ref="C148:D148"/>
    <mergeCell ref="C137:D137"/>
    <mergeCell ref="C138:D138"/>
    <mergeCell ref="C139:D139"/>
    <mergeCell ref="C140:D140"/>
    <mergeCell ref="C141:D141"/>
    <mergeCell ref="C142:D142"/>
    <mergeCell ref="C155:D155"/>
    <mergeCell ref="C156:D156"/>
    <mergeCell ref="C157:D157"/>
    <mergeCell ref="C158:D158"/>
    <mergeCell ref="C159:D159"/>
    <mergeCell ref="C149:D149"/>
    <mergeCell ref="C150:D150"/>
    <mergeCell ref="C151:D151"/>
    <mergeCell ref="C152:D152"/>
    <mergeCell ref="C153:D153"/>
    <mergeCell ref="C154:D15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1</vt:i4>
      </vt:variant>
    </vt:vector>
  </HeadingPairs>
  <TitlesOfParts>
    <vt:vector size="10" baseType="lpstr">
      <vt:lpstr>白值计算</vt:lpstr>
      <vt:lpstr>SS偏向统计</vt:lpstr>
      <vt:lpstr>AS通用白值</vt:lpstr>
      <vt:lpstr>SS通用白值</vt:lpstr>
      <vt:lpstr>全角色白值成长</vt:lpstr>
      <vt:lpstr>预置配装</vt:lpstr>
      <vt:lpstr>SS战型统计 废弃</vt:lpstr>
      <vt:lpstr>SS战型分类</vt:lpstr>
      <vt:lpstr>Sheet2</vt:lpstr>
      <vt:lpstr>pre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源汐 林</dc:creator>
  <cp:lastModifiedBy>源汐 林</cp:lastModifiedBy>
  <dcterms:created xsi:type="dcterms:W3CDTF">2025-07-15T01:07:51Z</dcterms:created>
  <dcterms:modified xsi:type="dcterms:W3CDTF">2026-06-05T02:09:58Z</dcterms:modified>
</cp:coreProperties>
</file>