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ixu\Downloads\下载_hbr\"/>
    </mc:Choice>
  </mc:AlternateContent>
  <xr:revisionPtr revIDLastSave="0" documentId="13_ncr:1_{EA66FA11-77C5-497F-954D-95194324A6DF}" xr6:coauthVersionLast="47" xr6:coauthVersionMax="47" xr10:uidLastSave="{00000000-0000-0000-0000-000000000000}"/>
  <bookViews>
    <workbookView xWindow="-98" yWindow="-98" windowWidth="19396" windowHeight="11475" xr2:uid="{7905727C-ACCF-4834-94EF-FBCCEAE5CC06}"/>
  </bookViews>
  <sheets>
    <sheet name="新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4" i="5" l="1"/>
  <c r="D191" i="5"/>
  <c r="D192" i="5" s="1"/>
  <c r="D193" i="5" s="1"/>
  <c r="C222" i="5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21" i="5"/>
  <c r="C220" i="5"/>
  <c r="D215" i="5"/>
  <c r="D216" i="5" s="1"/>
  <c r="C215" i="5"/>
  <c r="C216" i="5" s="1"/>
  <c r="C217" i="5" s="1"/>
  <c r="C218" i="5" s="1"/>
  <c r="C199" i="5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198" i="5"/>
  <c r="C197" i="5"/>
  <c r="C192" i="5"/>
  <c r="C193" i="5" s="1"/>
  <c r="C194" i="5" s="1"/>
  <c r="C195" i="5" s="1"/>
  <c r="C175" i="5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74" i="5"/>
  <c r="C171" i="5"/>
  <c r="C172" i="5" s="1"/>
  <c r="C170" i="5"/>
  <c r="C169" i="5"/>
  <c r="D168" i="5"/>
  <c r="D169" i="5" s="1"/>
  <c r="C152" i="5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51" i="5"/>
  <c r="C146" i="5"/>
  <c r="C147" i="5" s="1"/>
  <c r="C148" i="5" s="1"/>
  <c r="C149" i="5" s="1"/>
  <c r="D145" i="5"/>
  <c r="C128" i="5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24" i="5"/>
  <c r="C125" i="5" s="1"/>
  <c r="C126" i="5" s="1"/>
  <c r="C123" i="5"/>
  <c r="D122" i="5"/>
  <c r="D123" i="5" s="1"/>
  <c r="C106" i="5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05" i="5"/>
  <c r="C101" i="5"/>
  <c r="C102" i="5" s="1"/>
  <c r="C103" i="5" s="1"/>
  <c r="C100" i="5"/>
  <c r="D99" i="5"/>
  <c r="D100" i="5" s="1"/>
  <c r="D76" i="5"/>
  <c r="D77" i="5" s="1"/>
  <c r="D78" i="5" s="1"/>
  <c r="D53" i="5"/>
  <c r="D30" i="5"/>
  <c r="D31" i="5" s="1"/>
  <c r="D32" i="5" s="1"/>
  <c r="C84" i="5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83" i="5"/>
  <c r="C82" i="5"/>
  <c r="C78" i="5"/>
  <c r="C79" i="5" s="1"/>
  <c r="C80" i="5" s="1"/>
  <c r="C77" i="5"/>
  <c r="C60" i="5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59" i="5"/>
  <c r="C54" i="5"/>
  <c r="C55" i="5" s="1"/>
  <c r="C56" i="5" s="1"/>
  <c r="C57" i="5" s="1"/>
  <c r="C36" i="5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32" i="5"/>
  <c r="C33" i="5" s="1"/>
  <c r="C34" i="5" s="1"/>
  <c r="C31" i="5"/>
  <c r="L2" i="5" a="1"/>
  <c r="L2" i="5" s="1"/>
  <c r="I2" i="5" a="1"/>
  <c r="I2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256" i="5" s="1"/>
  <c r="U257" i="5" s="1"/>
  <c r="U258" i="5" s="1"/>
  <c r="U259" i="5" s="1"/>
  <c r="U260" i="5" s="1"/>
  <c r="U261" i="5" s="1"/>
  <c r="D7" i="5"/>
  <c r="L3" i="5" a="1"/>
  <c r="L3" i="5" s="1"/>
  <c r="I3" i="5" a="1"/>
  <c r="I3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V243" i="5" s="1"/>
  <c r="V244" i="5" s="1"/>
  <c r="V245" i="5" s="1"/>
  <c r="V246" i="5" s="1"/>
  <c r="V247" i="5" s="1"/>
  <c r="V248" i="5" s="1"/>
  <c r="V249" i="5" s="1"/>
  <c r="V250" i="5" s="1"/>
  <c r="V251" i="5" s="1"/>
  <c r="V252" i="5" s="1"/>
  <c r="V253" i="5" s="1"/>
  <c r="V254" i="5" s="1"/>
  <c r="V255" i="5" s="1"/>
  <c r="V256" i="5" s="1"/>
  <c r="V257" i="5" s="1"/>
  <c r="V258" i="5" s="1"/>
  <c r="V259" i="5" s="1"/>
  <c r="V260" i="5" s="1"/>
  <c r="V261" i="5" s="1"/>
  <c r="F99" i="5" l="1"/>
  <c r="F145" i="5"/>
  <c r="F214" i="5"/>
  <c r="F191" i="5"/>
  <c r="F216" i="5"/>
  <c r="D217" i="5"/>
  <c r="F215" i="5"/>
  <c r="F193" i="5"/>
  <c r="D194" i="5"/>
  <c r="F192" i="5"/>
  <c r="D170" i="5"/>
  <c r="F169" i="5"/>
  <c r="F168" i="5"/>
  <c r="D146" i="5"/>
  <c r="D124" i="5"/>
  <c r="F123" i="5"/>
  <c r="F122" i="5"/>
  <c r="D101" i="5"/>
  <c r="F100" i="5"/>
  <c r="F53" i="5"/>
  <c r="F30" i="5"/>
  <c r="F76" i="5"/>
  <c r="D79" i="5"/>
  <c r="F78" i="5"/>
  <c r="F77" i="5"/>
  <c r="D54" i="5"/>
  <c r="D33" i="5"/>
  <c r="F32" i="5"/>
  <c r="F31" i="5"/>
  <c r="F7" i="5"/>
  <c r="S7" i="5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R7" i="5"/>
  <c r="C13" i="5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8" i="5"/>
  <c r="C9" i="5" s="1"/>
  <c r="C10" i="5" s="1"/>
  <c r="C11" i="5" s="1"/>
  <c r="A2" i="5"/>
  <c r="A3" i="5" s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D218" i="5" l="1"/>
  <c r="F217" i="5"/>
  <c r="D195" i="5"/>
  <c r="F194" i="5"/>
  <c r="F170" i="5"/>
  <c r="D171" i="5"/>
  <c r="D147" i="5"/>
  <c r="F146" i="5"/>
  <c r="F124" i="5"/>
  <c r="D125" i="5"/>
  <c r="F101" i="5"/>
  <c r="D102" i="5"/>
  <c r="D80" i="5"/>
  <c r="F79" i="5"/>
  <c r="F54" i="5"/>
  <c r="D55" i="5"/>
  <c r="D34" i="5"/>
  <c r="F33" i="5"/>
  <c r="H7" i="5"/>
  <c r="R8" i="5"/>
  <c r="A31" i="5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D219" i="5" l="1"/>
  <c r="F218" i="5"/>
  <c r="D196" i="5"/>
  <c r="F195" i="5"/>
  <c r="F171" i="5"/>
  <c r="D172" i="5"/>
  <c r="F147" i="5"/>
  <c r="D148" i="5"/>
  <c r="D126" i="5"/>
  <c r="F125" i="5"/>
  <c r="D103" i="5"/>
  <c r="F102" i="5"/>
  <c r="F80" i="5"/>
  <c r="D81" i="5"/>
  <c r="F55" i="5"/>
  <c r="D56" i="5"/>
  <c r="F34" i="5"/>
  <c r="D35" i="5"/>
  <c r="R9" i="5"/>
  <c r="D8" i="5"/>
  <c r="F8" i="5" s="1"/>
  <c r="H8" i="5" s="1"/>
  <c r="J7" i="5"/>
  <c r="A54" i="5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D220" i="5" l="1"/>
  <c r="F219" i="5"/>
  <c r="D197" i="5"/>
  <c r="F196" i="5"/>
  <c r="F172" i="5"/>
  <c r="D173" i="5"/>
  <c r="F148" i="5"/>
  <c r="D149" i="5"/>
  <c r="F126" i="5"/>
  <c r="D127" i="5"/>
  <c r="D104" i="5"/>
  <c r="F103" i="5"/>
  <c r="D82" i="5"/>
  <c r="F81" i="5"/>
  <c r="D57" i="5"/>
  <c r="F56" i="5"/>
  <c r="D36" i="5"/>
  <c r="F35" i="5"/>
  <c r="R10" i="5"/>
  <c r="R11" i="5" s="1"/>
  <c r="A77" i="5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J8" i="5"/>
  <c r="D9" i="5"/>
  <c r="F9" i="5" s="1"/>
  <c r="H9" i="5" s="1"/>
  <c r="F220" i="5" l="1"/>
  <c r="D221" i="5"/>
  <c r="F197" i="5"/>
  <c r="D198" i="5"/>
  <c r="D174" i="5"/>
  <c r="F173" i="5"/>
  <c r="D150" i="5"/>
  <c r="F149" i="5"/>
  <c r="D128" i="5"/>
  <c r="F127" i="5"/>
  <c r="D105" i="5"/>
  <c r="F104" i="5"/>
  <c r="D83" i="5"/>
  <c r="F82" i="5"/>
  <c r="F57" i="5"/>
  <c r="D58" i="5"/>
  <c r="F36" i="5"/>
  <c r="D37" i="5"/>
  <c r="R12" i="5"/>
  <c r="M8" i="5"/>
  <c r="J9" i="5"/>
  <c r="D10" i="5"/>
  <c r="F10" i="5" s="1"/>
  <c r="H10" i="5" s="1"/>
  <c r="A100" i="5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D222" i="5" l="1"/>
  <c r="F221" i="5"/>
  <c r="D199" i="5"/>
  <c r="F198" i="5"/>
  <c r="D175" i="5"/>
  <c r="F174" i="5"/>
  <c r="D151" i="5"/>
  <c r="F150" i="5"/>
  <c r="D129" i="5"/>
  <c r="F128" i="5"/>
  <c r="F105" i="5"/>
  <c r="D106" i="5"/>
  <c r="D84" i="5"/>
  <c r="F83" i="5"/>
  <c r="D59" i="5"/>
  <c r="F58" i="5"/>
  <c r="F37" i="5"/>
  <c r="D38" i="5"/>
  <c r="R13" i="5"/>
  <c r="M9" i="5"/>
  <c r="A123" i="5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D11" i="5"/>
  <c r="F11" i="5" s="1"/>
  <c r="H11" i="5" s="1"/>
  <c r="J10" i="5"/>
  <c r="F222" i="5" l="1"/>
  <c r="D223" i="5"/>
  <c r="D200" i="5"/>
  <c r="F199" i="5"/>
  <c r="D176" i="5"/>
  <c r="F175" i="5"/>
  <c r="F151" i="5"/>
  <c r="D152" i="5"/>
  <c r="F129" i="5"/>
  <c r="D130" i="5"/>
  <c r="D107" i="5"/>
  <c r="F106" i="5"/>
  <c r="D85" i="5"/>
  <c r="F84" i="5"/>
  <c r="F59" i="5"/>
  <c r="D60" i="5"/>
  <c r="D39" i="5"/>
  <c r="F38" i="5"/>
  <c r="R14" i="5"/>
  <c r="M10" i="5"/>
  <c r="D12" i="5"/>
  <c r="F12" i="5" s="1"/>
  <c r="H12" i="5" s="1"/>
  <c r="J11" i="5"/>
  <c r="A146" i="5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F223" i="5" l="1"/>
  <c r="D224" i="5"/>
  <c r="F200" i="5"/>
  <c r="D201" i="5"/>
  <c r="D177" i="5"/>
  <c r="F176" i="5"/>
  <c r="D153" i="5"/>
  <c r="F152" i="5"/>
  <c r="D131" i="5"/>
  <c r="F130" i="5"/>
  <c r="D108" i="5"/>
  <c r="F107" i="5"/>
  <c r="D86" i="5"/>
  <c r="F85" i="5"/>
  <c r="F60" i="5"/>
  <c r="D61" i="5"/>
  <c r="F39" i="5"/>
  <c r="D40" i="5"/>
  <c r="R15" i="5"/>
  <c r="M11" i="5"/>
  <c r="A169" i="5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J12" i="5"/>
  <c r="D13" i="5"/>
  <c r="F13" i="5" s="1"/>
  <c r="H13" i="5" s="1"/>
  <c r="D225" i="5" l="1"/>
  <c r="F224" i="5"/>
  <c r="D202" i="5"/>
  <c r="F201" i="5"/>
  <c r="F177" i="5"/>
  <c r="D178" i="5"/>
  <c r="D154" i="5"/>
  <c r="F153" i="5"/>
  <c r="F131" i="5"/>
  <c r="D132" i="5"/>
  <c r="F108" i="5"/>
  <c r="D109" i="5"/>
  <c r="D87" i="5"/>
  <c r="F86" i="5"/>
  <c r="D62" i="5"/>
  <c r="F61" i="5"/>
  <c r="D41" i="5"/>
  <c r="F40" i="5"/>
  <c r="R16" i="5"/>
  <c r="M12" i="5"/>
  <c r="D14" i="5"/>
  <c r="F14" i="5" s="1"/>
  <c r="H14" i="5" s="1"/>
  <c r="J13" i="5"/>
  <c r="A192" i="5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D226" i="5" l="1"/>
  <c r="F225" i="5"/>
  <c r="D203" i="5"/>
  <c r="F202" i="5"/>
  <c r="D179" i="5"/>
  <c r="F178" i="5"/>
  <c r="F154" i="5"/>
  <c r="D155" i="5"/>
  <c r="D133" i="5"/>
  <c r="F132" i="5"/>
  <c r="D110" i="5"/>
  <c r="F109" i="5"/>
  <c r="D88" i="5"/>
  <c r="F87" i="5"/>
  <c r="F62" i="5"/>
  <c r="D63" i="5"/>
  <c r="F41" i="5"/>
  <c r="D42" i="5"/>
  <c r="R17" i="5"/>
  <c r="M13" i="5"/>
  <c r="A215" i="5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D15" i="5"/>
  <c r="F15" i="5" s="1"/>
  <c r="H15" i="5" s="1"/>
  <c r="J14" i="5"/>
  <c r="D227" i="5" l="1"/>
  <c r="F226" i="5"/>
  <c r="D204" i="5"/>
  <c r="F203" i="5"/>
  <c r="D180" i="5"/>
  <c r="F179" i="5"/>
  <c r="D156" i="5"/>
  <c r="F155" i="5"/>
  <c r="F133" i="5"/>
  <c r="D134" i="5"/>
  <c r="D111" i="5"/>
  <c r="F110" i="5"/>
  <c r="F88" i="5"/>
  <c r="D89" i="5"/>
  <c r="D64" i="5"/>
  <c r="F63" i="5"/>
  <c r="F42" i="5"/>
  <c r="D43" i="5"/>
  <c r="R18" i="5"/>
  <c r="M14" i="5"/>
  <c r="J15" i="5"/>
  <c r="D16" i="5"/>
  <c r="F16" i="5" s="1"/>
  <c r="H16" i="5" s="1"/>
  <c r="D228" i="5" l="1"/>
  <c r="F227" i="5"/>
  <c r="D205" i="5"/>
  <c r="F204" i="5"/>
  <c r="F180" i="5"/>
  <c r="D181" i="5"/>
  <c r="D157" i="5"/>
  <c r="F156" i="5"/>
  <c r="D135" i="5"/>
  <c r="F134" i="5"/>
  <c r="D112" i="5"/>
  <c r="F111" i="5"/>
  <c r="D90" i="5"/>
  <c r="F89" i="5"/>
  <c r="D65" i="5"/>
  <c r="F64" i="5"/>
  <c r="D44" i="5"/>
  <c r="F43" i="5"/>
  <c r="R19" i="5"/>
  <c r="M15" i="5"/>
  <c r="J16" i="5"/>
  <c r="D17" i="5"/>
  <c r="F17" i="5" s="1"/>
  <c r="H17" i="5" s="1"/>
  <c r="D229" i="5" l="1"/>
  <c r="F228" i="5"/>
  <c r="D206" i="5"/>
  <c r="F205" i="5"/>
  <c r="D182" i="5"/>
  <c r="F181" i="5"/>
  <c r="D158" i="5"/>
  <c r="F157" i="5"/>
  <c r="D136" i="5"/>
  <c r="F135" i="5"/>
  <c r="D113" i="5"/>
  <c r="F112" i="5"/>
  <c r="F90" i="5"/>
  <c r="D91" i="5"/>
  <c r="D66" i="5"/>
  <c r="F65" i="5"/>
  <c r="F44" i="5"/>
  <c r="D45" i="5"/>
  <c r="R20" i="5"/>
  <c r="M16" i="5"/>
  <c r="D18" i="5"/>
  <c r="F18" i="5" s="1"/>
  <c r="H18" i="5" s="1"/>
  <c r="J17" i="5"/>
  <c r="D230" i="5" l="1"/>
  <c r="F229" i="5"/>
  <c r="D207" i="5"/>
  <c r="F206" i="5"/>
  <c r="D183" i="5"/>
  <c r="F182" i="5"/>
  <c r="D159" i="5"/>
  <c r="F158" i="5"/>
  <c r="F136" i="5"/>
  <c r="D137" i="5"/>
  <c r="D114" i="5"/>
  <c r="F113" i="5"/>
  <c r="D92" i="5"/>
  <c r="F91" i="5"/>
  <c r="F66" i="5"/>
  <c r="D67" i="5"/>
  <c r="D46" i="5"/>
  <c r="F45" i="5"/>
  <c r="R21" i="5"/>
  <c r="M17" i="5"/>
  <c r="D19" i="5"/>
  <c r="F19" i="5" s="1"/>
  <c r="H19" i="5" s="1"/>
  <c r="J18" i="5"/>
  <c r="F230" i="5" l="1"/>
  <c r="D231" i="5"/>
  <c r="F207" i="5"/>
  <c r="D208" i="5"/>
  <c r="D184" i="5"/>
  <c r="F183" i="5"/>
  <c r="D160" i="5"/>
  <c r="F159" i="5"/>
  <c r="F137" i="5"/>
  <c r="D138" i="5"/>
  <c r="D115" i="5"/>
  <c r="F114" i="5"/>
  <c r="D93" i="5"/>
  <c r="F92" i="5"/>
  <c r="D68" i="5"/>
  <c r="F67" i="5"/>
  <c r="F46" i="5"/>
  <c r="D47" i="5"/>
  <c r="R22" i="5"/>
  <c r="M18" i="5"/>
  <c r="D20" i="5"/>
  <c r="F20" i="5" s="1"/>
  <c r="H20" i="5" s="1"/>
  <c r="J19" i="5"/>
  <c r="D232" i="5" l="1"/>
  <c r="F231" i="5"/>
  <c r="D209" i="5"/>
  <c r="F208" i="5"/>
  <c r="F184" i="5"/>
  <c r="D185" i="5"/>
  <c r="D161" i="5"/>
  <c r="F160" i="5"/>
  <c r="D139" i="5"/>
  <c r="F138" i="5"/>
  <c r="F115" i="5"/>
  <c r="D116" i="5"/>
  <c r="F93" i="5"/>
  <c r="D94" i="5"/>
  <c r="D69" i="5"/>
  <c r="F68" i="5"/>
  <c r="F47" i="5"/>
  <c r="D48" i="5"/>
  <c r="R23" i="5"/>
  <c r="M19" i="5"/>
  <c r="J20" i="5"/>
  <c r="D21" i="5"/>
  <c r="F21" i="5" s="1"/>
  <c r="H21" i="5" s="1"/>
  <c r="F232" i="5" l="1"/>
  <c r="D233" i="5"/>
  <c r="F233" i="5" s="1"/>
  <c r="D210" i="5"/>
  <c r="F210" i="5" s="1"/>
  <c r="F209" i="5"/>
  <c r="F185" i="5"/>
  <c r="D186" i="5"/>
  <c r="F161" i="5"/>
  <c r="D162" i="5"/>
  <c r="F139" i="5"/>
  <c r="D140" i="5"/>
  <c r="F116" i="5"/>
  <c r="D117" i="5"/>
  <c r="D95" i="5"/>
  <c r="F95" i="5" s="1"/>
  <c r="F94" i="5"/>
  <c r="F69" i="5"/>
  <c r="D70" i="5"/>
  <c r="D49" i="5"/>
  <c r="F49" i="5" s="1"/>
  <c r="F48" i="5"/>
  <c r="R24" i="5"/>
  <c r="M20" i="5"/>
  <c r="J21" i="5"/>
  <c r="D22" i="5"/>
  <c r="F22" i="5" s="1"/>
  <c r="H22" i="5" s="1"/>
  <c r="D187" i="5" l="1"/>
  <c r="F187" i="5" s="1"/>
  <c r="F186" i="5"/>
  <c r="F162" i="5"/>
  <c r="D163" i="5"/>
  <c r="D141" i="5"/>
  <c r="F141" i="5" s="1"/>
  <c r="F140" i="5"/>
  <c r="D118" i="5"/>
  <c r="F118" i="5" s="1"/>
  <c r="F117" i="5"/>
  <c r="D71" i="5"/>
  <c r="F70" i="5"/>
  <c r="R25" i="5"/>
  <c r="M21" i="5"/>
  <c r="D23" i="5"/>
  <c r="F23" i="5" s="1"/>
  <c r="H23" i="5" s="1"/>
  <c r="J22" i="5"/>
  <c r="D164" i="5" l="1"/>
  <c r="F164" i="5" s="1"/>
  <c r="F163" i="5"/>
  <c r="D72" i="5"/>
  <c r="F72" i="5" s="1"/>
  <c r="F71" i="5"/>
  <c r="R26" i="5"/>
  <c r="M22" i="5"/>
  <c r="D24" i="5"/>
  <c r="F24" i="5" s="1"/>
  <c r="H24" i="5" s="1"/>
  <c r="J23" i="5"/>
  <c r="R27" i="5" l="1"/>
  <c r="R28" i="5" s="1"/>
  <c r="R29" i="5" s="1"/>
  <c r="R30" i="5" s="1"/>
  <c r="M23" i="5"/>
  <c r="J24" i="5"/>
  <c r="D25" i="5"/>
  <c r="F25" i="5" s="1"/>
  <c r="H25" i="5" s="1"/>
  <c r="R31" i="5" l="1"/>
  <c r="H30" i="5"/>
  <c r="J30" i="5" s="1"/>
  <c r="M24" i="5"/>
  <c r="J25" i="5"/>
  <c r="D26" i="5"/>
  <c r="R32" i="5" l="1"/>
  <c r="H31" i="5"/>
  <c r="J31" i="5" s="1"/>
  <c r="M31" i="5" s="1"/>
  <c r="F26" i="5"/>
  <c r="M25" i="5"/>
  <c r="R33" i="5" l="1"/>
  <c r="H32" i="5"/>
  <c r="J32" i="5" s="1"/>
  <c r="M32" i="5" s="1"/>
  <c r="H26" i="5"/>
  <c r="J26" i="5" s="1"/>
  <c r="M26" i="5" s="1"/>
  <c r="R34" i="5" l="1"/>
  <c r="H33" i="5"/>
  <c r="J33" i="5" s="1"/>
  <c r="M33" i="5" s="1"/>
  <c r="R35" i="5" l="1"/>
  <c r="H34" i="5"/>
  <c r="J34" i="5" s="1"/>
  <c r="M34" i="5" s="1"/>
  <c r="R36" i="5" l="1"/>
  <c r="H35" i="5"/>
  <c r="J35" i="5" s="1"/>
  <c r="M35" i="5" s="1"/>
  <c r="R37" i="5" l="1"/>
  <c r="H36" i="5"/>
  <c r="J36" i="5" s="1"/>
  <c r="M36" i="5" s="1"/>
  <c r="R38" i="5" l="1"/>
  <c r="H37" i="5"/>
  <c r="J37" i="5" s="1"/>
  <c r="M37" i="5" s="1"/>
  <c r="R39" i="5" l="1"/>
  <c r="H38" i="5"/>
  <c r="J38" i="5" s="1"/>
  <c r="M38" i="5" s="1"/>
  <c r="R40" i="5" l="1"/>
  <c r="H39" i="5"/>
  <c r="J39" i="5" s="1"/>
  <c r="M39" i="5" s="1"/>
  <c r="R41" i="5" l="1"/>
  <c r="H40" i="5"/>
  <c r="J40" i="5" s="1"/>
  <c r="M40" i="5" s="1"/>
  <c r="R42" i="5" l="1"/>
  <c r="H41" i="5"/>
  <c r="J41" i="5" s="1"/>
  <c r="M41" i="5" s="1"/>
  <c r="R43" i="5" l="1"/>
  <c r="H42" i="5"/>
  <c r="J42" i="5" s="1"/>
  <c r="M42" i="5" s="1"/>
  <c r="R44" i="5" l="1"/>
  <c r="H43" i="5"/>
  <c r="J43" i="5" s="1"/>
  <c r="M43" i="5" s="1"/>
  <c r="R45" i="5" l="1"/>
  <c r="H44" i="5"/>
  <c r="J44" i="5" s="1"/>
  <c r="M44" i="5" s="1"/>
  <c r="R46" i="5" l="1"/>
  <c r="H45" i="5"/>
  <c r="J45" i="5" s="1"/>
  <c r="M45" i="5" s="1"/>
  <c r="R47" i="5" l="1"/>
  <c r="H46" i="5"/>
  <c r="J46" i="5" s="1"/>
  <c r="M46" i="5" s="1"/>
  <c r="R48" i="5" l="1"/>
  <c r="H47" i="5"/>
  <c r="J47" i="5" s="1"/>
  <c r="M47" i="5" s="1"/>
  <c r="R49" i="5" l="1"/>
  <c r="H48" i="5"/>
  <c r="J48" i="5" s="1"/>
  <c r="M48" i="5" s="1"/>
  <c r="R50" i="5" l="1"/>
  <c r="R51" i="5" s="1"/>
  <c r="R52" i="5" s="1"/>
  <c r="R53" i="5" s="1"/>
  <c r="H49" i="5"/>
  <c r="J49" i="5" s="1"/>
  <c r="M49" i="5" s="1"/>
  <c r="R54" i="5" l="1"/>
  <c r="H53" i="5"/>
  <c r="J53" i="5" s="1"/>
  <c r="R55" i="5" l="1"/>
  <c r="H54" i="5"/>
  <c r="J54" i="5" s="1"/>
  <c r="M54" i="5" s="1"/>
  <c r="R56" i="5" l="1"/>
  <c r="H55" i="5"/>
  <c r="J55" i="5" s="1"/>
  <c r="M55" i="5" s="1"/>
  <c r="R57" i="5" l="1"/>
  <c r="H56" i="5"/>
  <c r="J56" i="5" s="1"/>
  <c r="M56" i="5" s="1"/>
  <c r="R58" i="5" l="1"/>
  <c r="H57" i="5"/>
  <c r="J57" i="5" s="1"/>
  <c r="M57" i="5" s="1"/>
  <c r="R59" i="5" l="1"/>
  <c r="H58" i="5"/>
  <c r="J58" i="5" s="1"/>
  <c r="M58" i="5" s="1"/>
  <c r="R60" i="5" l="1"/>
  <c r="H59" i="5"/>
  <c r="J59" i="5" s="1"/>
  <c r="M59" i="5" s="1"/>
  <c r="R61" i="5" l="1"/>
  <c r="H60" i="5"/>
  <c r="J60" i="5" s="1"/>
  <c r="M60" i="5" s="1"/>
  <c r="R62" i="5" l="1"/>
  <c r="H61" i="5"/>
  <c r="J61" i="5" s="1"/>
  <c r="M61" i="5" s="1"/>
  <c r="R63" i="5" l="1"/>
  <c r="H62" i="5"/>
  <c r="J62" i="5" s="1"/>
  <c r="M62" i="5" s="1"/>
  <c r="R64" i="5" l="1"/>
  <c r="H63" i="5"/>
  <c r="J63" i="5" s="1"/>
  <c r="M63" i="5" s="1"/>
  <c r="R65" i="5" l="1"/>
  <c r="H64" i="5"/>
  <c r="J64" i="5" s="1"/>
  <c r="M64" i="5" s="1"/>
  <c r="R66" i="5" l="1"/>
  <c r="H65" i="5"/>
  <c r="J65" i="5" s="1"/>
  <c r="M65" i="5" s="1"/>
  <c r="R67" i="5" l="1"/>
  <c r="H66" i="5"/>
  <c r="J66" i="5" s="1"/>
  <c r="M66" i="5" s="1"/>
  <c r="R68" i="5" l="1"/>
  <c r="H67" i="5"/>
  <c r="J67" i="5" s="1"/>
  <c r="M67" i="5" s="1"/>
  <c r="R69" i="5" l="1"/>
  <c r="H68" i="5"/>
  <c r="J68" i="5" s="1"/>
  <c r="M68" i="5" s="1"/>
  <c r="R70" i="5" l="1"/>
  <c r="H69" i="5"/>
  <c r="J69" i="5" s="1"/>
  <c r="M69" i="5" s="1"/>
  <c r="R71" i="5" l="1"/>
  <c r="H70" i="5"/>
  <c r="J70" i="5" s="1"/>
  <c r="M70" i="5" s="1"/>
  <c r="R72" i="5" l="1"/>
  <c r="H71" i="5"/>
  <c r="J71" i="5" s="1"/>
  <c r="M71" i="5" s="1"/>
  <c r="R73" i="5" l="1"/>
  <c r="R74" i="5" s="1"/>
  <c r="R75" i="5" s="1"/>
  <c r="R76" i="5" s="1"/>
  <c r="H72" i="5"/>
  <c r="J72" i="5" s="1"/>
  <c r="M72" i="5" s="1"/>
  <c r="R77" i="5" l="1"/>
  <c r="H76" i="5"/>
  <c r="J76" i="5" s="1"/>
  <c r="R78" i="5" l="1"/>
  <c r="H77" i="5"/>
  <c r="J77" i="5" s="1"/>
  <c r="M77" i="5" s="1"/>
  <c r="R79" i="5" l="1"/>
  <c r="H78" i="5"/>
  <c r="J78" i="5" s="1"/>
  <c r="M78" i="5" s="1"/>
  <c r="R80" i="5" l="1"/>
  <c r="H79" i="5"/>
  <c r="J79" i="5" s="1"/>
  <c r="M79" i="5" s="1"/>
  <c r="R81" i="5" l="1"/>
  <c r="H80" i="5"/>
  <c r="J80" i="5" s="1"/>
  <c r="M80" i="5" s="1"/>
  <c r="R82" i="5" l="1"/>
  <c r="H81" i="5"/>
  <c r="J81" i="5" s="1"/>
  <c r="M81" i="5" s="1"/>
  <c r="R83" i="5" l="1"/>
  <c r="H82" i="5"/>
  <c r="J82" i="5" s="1"/>
  <c r="M82" i="5" s="1"/>
  <c r="R84" i="5" l="1"/>
  <c r="H83" i="5"/>
  <c r="J83" i="5" s="1"/>
  <c r="M83" i="5" s="1"/>
  <c r="R85" i="5" l="1"/>
  <c r="H84" i="5"/>
  <c r="J84" i="5" s="1"/>
  <c r="M84" i="5" s="1"/>
  <c r="R86" i="5" l="1"/>
  <c r="H85" i="5"/>
  <c r="J85" i="5" s="1"/>
  <c r="M85" i="5" s="1"/>
  <c r="R87" i="5" l="1"/>
  <c r="H86" i="5"/>
  <c r="J86" i="5" s="1"/>
  <c r="M86" i="5" s="1"/>
  <c r="R88" i="5" l="1"/>
  <c r="H87" i="5"/>
  <c r="J87" i="5" s="1"/>
  <c r="M87" i="5" s="1"/>
  <c r="R89" i="5" l="1"/>
  <c r="H88" i="5"/>
  <c r="J88" i="5" s="1"/>
  <c r="M88" i="5" s="1"/>
  <c r="R90" i="5" l="1"/>
  <c r="H89" i="5"/>
  <c r="J89" i="5" s="1"/>
  <c r="M89" i="5" s="1"/>
  <c r="R91" i="5" l="1"/>
  <c r="H90" i="5"/>
  <c r="J90" i="5" s="1"/>
  <c r="M90" i="5" s="1"/>
  <c r="R92" i="5" l="1"/>
  <c r="H91" i="5"/>
  <c r="J91" i="5" s="1"/>
  <c r="M91" i="5" s="1"/>
  <c r="R93" i="5" l="1"/>
  <c r="H92" i="5"/>
  <c r="J92" i="5" s="1"/>
  <c r="M92" i="5" s="1"/>
  <c r="R94" i="5" l="1"/>
  <c r="H93" i="5"/>
  <c r="J93" i="5" s="1"/>
  <c r="M93" i="5" s="1"/>
  <c r="R95" i="5" l="1"/>
  <c r="H94" i="5"/>
  <c r="J94" i="5" s="1"/>
  <c r="M94" i="5" s="1"/>
  <c r="R96" i="5" l="1"/>
  <c r="R97" i="5" s="1"/>
  <c r="R98" i="5" s="1"/>
  <c r="R99" i="5" s="1"/>
  <c r="H99" i="5" s="1"/>
  <c r="J99" i="5" s="1"/>
  <c r="H95" i="5"/>
  <c r="J95" i="5" s="1"/>
  <c r="M95" i="5" s="1"/>
  <c r="R100" i="5" l="1"/>
  <c r="H100" i="5" s="1"/>
  <c r="J100" i="5" s="1"/>
  <c r="M100" i="5" s="1"/>
  <c r="R101" i="5" l="1"/>
  <c r="H101" i="5" s="1"/>
  <c r="J101" i="5" s="1"/>
  <c r="M101" i="5" s="1"/>
  <c r="R102" i="5" l="1"/>
  <c r="H102" i="5" s="1"/>
  <c r="J102" i="5" s="1"/>
  <c r="M102" i="5" s="1"/>
  <c r="R103" i="5" l="1"/>
  <c r="H103" i="5" s="1"/>
  <c r="J103" i="5" s="1"/>
  <c r="M103" i="5" s="1"/>
  <c r="R104" i="5" l="1"/>
  <c r="H104" i="5" s="1"/>
  <c r="J104" i="5" s="1"/>
  <c r="M104" i="5" s="1"/>
  <c r="R105" i="5" l="1"/>
  <c r="H105" i="5" s="1"/>
  <c r="J105" i="5" s="1"/>
  <c r="M105" i="5" s="1"/>
  <c r="R106" i="5" l="1"/>
  <c r="H106" i="5" s="1"/>
  <c r="J106" i="5" s="1"/>
  <c r="M106" i="5" s="1"/>
  <c r="R107" i="5" l="1"/>
  <c r="H107" i="5" s="1"/>
  <c r="J107" i="5" s="1"/>
  <c r="M107" i="5" s="1"/>
  <c r="R108" i="5" l="1"/>
  <c r="H108" i="5" s="1"/>
  <c r="J108" i="5" s="1"/>
  <c r="M108" i="5" s="1"/>
  <c r="R109" i="5" l="1"/>
  <c r="H109" i="5" s="1"/>
  <c r="J109" i="5" s="1"/>
  <c r="M109" i="5" s="1"/>
  <c r="R110" i="5" l="1"/>
  <c r="H110" i="5" s="1"/>
  <c r="J110" i="5" s="1"/>
  <c r="M110" i="5" s="1"/>
  <c r="R111" i="5" l="1"/>
  <c r="H111" i="5" s="1"/>
  <c r="J111" i="5" s="1"/>
  <c r="M111" i="5" s="1"/>
  <c r="R112" i="5" l="1"/>
  <c r="H112" i="5" s="1"/>
  <c r="J112" i="5" s="1"/>
  <c r="M112" i="5" s="1"/>
  <c r="R113" i="5" l="1"/>
  <c r="H113" i="5" s="1"/>
  <c r="J113" i="5" s="1"/>
  <c r="M113" i="5" s="1"/>
  <c r="R114" i="5" l="1"/>
  <c r="H114" i="5" s="1"/>
  <c r="J114" i="5" s="1"/>
  <c r="M114" i="5" s="1"/>
  <c r="R115" i="5" l="1"/>
  <c r="H115" i="5" s="1"/>
  <c r="J115" i="5" s="1"/>
  <c r="M115" i="5" s="1"/>
  <c r="R116" i="5" l="1"/>
  <c r="H116" i="5" s="1"/>
  <c r="J116" i="5" s="1"/>
  <c r="M116" i="5" s="1"/>
  <c r="R117" i="5" l="1"/>
  <c r="H117" i="5" s="1"/>
  <c r="J117" i="5" s="1"/>
  <c r="M117" i="5" s="1"/>
  <c r="R118" i="5" l="1"/>
  <c r="H118" i="5" s="1"/>
  <c r="J118" i="5" s="1"/>
  <c r="M118" i="5" s="1"/>
  <c r="R119" i="5" l="1"/>
  <c r="R120" i="5" s="1"/>
  <c r="R121" i="5" s="1"/>
  <c r="R122" i="5" s="1"/>
  <c r="H122" i="5" s="1"/>
  <c r="J122" i="5" s="1"/>
  <c r="R123" i="5" l="1"/>
  <c r="H123" i="5" s="1"/>
  <c r="J123" i="5" s="1"/>
  <c r="M123" i="5" s="1"/>
  <c r="R124" i="5" l="1"/>
  <c r="H124" i="5" s="1"/>
  <c r="J124" i="5" s="1"/>
  <c r="M124" i="5" s="1"/>
  <c r="R125" i="5" l="1"/>
  <c r="H125" i="5" s="1"/>
  <c r="J125" i="5" s="1"/>
  <c r="M125" i="5" s="1"/>
  <c r="R126" i="5" l="1"/>
  <c r="H126" i="5" s="1"/>
  <c r="J126" i="5" s="1"/>
  <c r="M126" i="5" s="1"/>
  <c r="R127" i="5" l="1"/>
  <c r="H127" i="5" s="1"/>
  <c r="J127" i="5" s="1"/>
  <c r="M127" i="5" s="1"/>
  <c r="R128" i="5" l="1"/>
  <c r="H128" i="5" s="1"/>
  <c r="J128" i="5" s="1"/>
  <c r="M128" i="5" s="1"/>
  <c r="R129" i="5" l="1"/>
  <c r="H129" i="5" s="1"/>
  <c r="J129" i="5" s="1"/>
  <c r="M129" i="5" s="1"/>
  <c r="R130" i="5" l="1"/>
  <c r="H130" i="5" s="1"/>
  <c r="J130" i="5" s="1"/>
  <c r="M130" i="5" s="1"/>
  <c r="R131" i="5" l="1"/>
  <c r="H131" i="5" s="1"/>
  <c r="J131" i="5" s="1"/>
  <c r="M131" i="5" s="1"/>
  <c r="R132" i="5" l="1"/>
  <c r="H132" i="5" s="1"/>
  <c r="J132" i="5" s="1"/>
  <c r="M132" i="5" s="1"/>
  <c r="R133" i="5" l="1"/>
  <c r="H133" i="5" s="1"/>
  <c r="J133" i="5" s="1"/>
  <c r="M133" i="5" s="1"/>
  <c r="R134" i="5" l="1"/>
  <c r="H134" i="5" s="1"/>
  <c r="J134" i="5" s="1"/>
  <c r="M134" i="5" s="1"/>
  <c r="R135" i="5" l="1"/>
  <c r="H135" i="5" s="1"/>
  <c r="J135" i="5" s="1"/>
  <c r="M135" i="5" s="1"/>
  <c r="R136" i="5" l="1"/>
  <c r="H136" i="5" s="1"/>
  <c r="J136" i="5" s="1"/>
  <c r="M136" i="5" s="1"/>
  <c r="R137" i="5" l="1"/>
  <c r="H137" i="5" s="1"/>
  <c r="J137" i="5" s="1"/>
  <c r="M137" i="5" s="1"/>
  <c r="R138" i="5" l="1"/>
  <c r="H138" i="5" s="1"/>
  <c r="J138" i="5" s="1"/>
  <c r="M138" i="5" s="1"/>
  <c r="R139" i="5" l="1"/>
  <c r="H139" i="5" s="1"/>
  <c r="J139" i="5" s="1"/>
  <c r="M139" i="5" s="1"/>
  <c r="R140" i="5" l="1"/>
  <c r="H140" i="5" s="1"/>
  <c r="J140" i="5" s="1"/>
  <c r="M140" i="5" s="1"/>
  <c r="R141" i="5" l="1"/>
  <c r="H141" i="5" s="1"/>
  <c r="J141" i="5" s="1"/>
  <c r="M141" i="5" s="1"/>
  <c r="R142" i="5" l="1"/>
  <c r="R143" i="5" s="1"/>
  <c r="R144" i="5" s="1"/>
  <c r="R145" i="5" s="1"/>
  <c r="H145" i="5" s="1"/>
  <c r="J145" i="5" s="1"/>
  <c r="R146" i="5" l="1"/>
  <c r="H146" i="5" s="1"/>
  <c r="J146" i="5" s="1"/>
  <c r="M146" i="5" s="1"/>
  <c r="R147" i="5" l="1"/>
  <c r="H147" i="5" s="1"/>
  <c r="J147" i="5" s="1"/>
  <c r="M147" i="5" s="1"/>
  <c r="R148" i="5" l="1"/>
  <c r="H148" i="5" s="1"/>
  <c r="J148" i="5" s="1"/>
  <c r="M148" i="5" s="1"/>
  <c r="R149" i="5" l="1"/>
  <c r="H149" i="5" s="1"/>
  <c r="J149" i="5" s="1"/>
  <c r="M149" i="5" s="1"/>
  <c r="R150" i="5" l="1"/>
  <c r="H150" i="5" s="1"/>
  <c r="J150" i="5" s="1"/>
  <c r="M150" i="5" s="1"/>
  <c r="R151" i="5" l="1"/>
  <c r="H151" i="5" s="1"/>
  <c r="J151" i="5" s="1"/>
  <c r="M151" i="5" s="1"/>
  <c r="R152" i="5" l="1"/>
  <c r="H152" i="5" s="1"/>
  <c r="J152" i="5" s="1"/>
  <c r="M152" i="5" s="1"/>
  <c r="R153" i="5" l="1"/>
  <c r="H153" i="5" s="1"/>
  <c r="J153" i="5" s="1"/>
  <c r="M153" i="5" s="1"/>
  <c r="R154" i="5" l="1"/>
  <c r="H154" i="5" s="1"/>
  <c r="J154" i="5" s="1"/>
  <c r="M154" i="5" s="1"/>
  <c r="R155" i="5" l="1"/>
  <c r="H155" i="5" s="1"/>
  <c r="J155" i="5" s="1"/>
  <c r="M155" i="5" s="1"/>
  <c r="R156" i="5" l="1"/>
  <c r="H156" i="5" s="1"/>
  <c r="J156" i="5" s="1"/>
  <c r="M156" i="5" s="1"/>
  <c r="R157" i="5" l="1"/>
  <c r="H157" i="5" s="1"/>
  <c r="J157" i="5" s="1"/>
  <c r="M157" i="5" s="1"/>
  <c r="R158" i="5" l="1"/>
  <c r="H158" i="5" s="1"/>
  <c r="J158" i="5" s="1"/>
  <c r="M158" i="5" s="1"/>
  <c r="R159" i="5" l="1"/>
  <c r="H159" i="5" s="1"/>
  <c r="J159" i="5" s="1"/>
  <c r="M159" i="5" s="1"/>
  <c r="R160" i="5" l="1"/>
  <c r="H160" i="5" s="1"/>
  <c r="J160" i="5" s="1"/>
  <c r="M160" i="5" s="1"/>
  <c r="R161" i="5" l="1"/>
  <c r="H161" i="5" s="1"/>
  <c r="J161" i="5" s="1"/>
  <c r="M161" i="5" s="1"/>
  <c r="R162" i="5" l="1"/>
  <c r="H162" i="5" s="1"/>
  <c r="J162" i="5" s="1"/>
  <c r="M162" i="5" s="1"/>
  <c r="R163" i="5" l="1"/>
  <c r="H163" i="5" s="1"/>
  <c r="J163" i="5" s="1"/>
  <c r="M163" i="5" s="1"/>
  <c r="R164" i="5" l="1"/>
  <c r="H164" i="5" s="1"/>
  <c r="J164" i="5" s="1"/>
  <c r="M164" i="5" s="1"/>
  <c r="R165" i="5" l="1"/>
  <c r="R166" i="5" s="1"/>
  <c r="R167" i="5" s="1"/>
  <c r="R168" i="5" s="1"/>
  <c r="H168" i="5" s="1"/>
  <c r="J168" i="5" s="1"/>
  <c r="R169" i="5" l="1"/>
  <c r="H169" i="5" s="1"/>
  <c r="J169" i="5" s="1"/>
  <c r="M169" i="5" s="1"/>
  <c r="R170" i="5" l="1"/>
  <c r="H170" i="5" s="1"/>
  <c r="J170" i="5" s="1"/>
  <c r="M170" i="5" s="1"/>
  <c r="R171" i="5" l="1"/>
  <c r="H171" i="5" s="1"/>
  <c r="J171" i="5" s="1"/>
  <c r="M171" i="5" s="1"/>
  <c r="R172" i="5" l="1"/>
  <c r="H172" i="5" s="1"/>
  <c r="J172" i="5" s="1"/>
  <c r="M172" i="5" s="1"/>
  <c r="R173" i="5" l="1"/>
  <c r="H173" i="5" s="1"/>
  <c r="J173" i="5" s="1"/>
  <c r="M173" i="5" s="1"/>
  <c r="R174" i="5" l="1"/>
  <c r="H174" i="5" s="1"/>
  <c r="J174" i="5" s="1"/>
  <c r="M174" i="5" s="1"/>
  <c r="R175" i="5" l="1"/>
  <c r="H175" i="5" s="1"/>
  <c r="J175" i="5" s="1"/>
  <c r="M175" i="5" s="1"/>
  <c r="R176" i="5" l="1"/>
  <c r="H176" i="5" s="1"/>
  <c r="J176" i="5" s="1"/>
  <c r="M176" i="5" s="1"/>
  <c r="R177" i="5" l="1"/>
  <c r="H177" i="5" s="1"/>
  <c r="J177" i="5" s="1"/>
  <c r="M177" i="5" s="1"/>
  <c r="R178" i="5" l="1"/>
  <c r="H178" i="5" s="1"/>
  <c r="J178" i="5" s="1"/>
  <c r="M178" i="5" s="1"/>
  <c r="R179" i="5" l="1"/>
  <c r="H179" i="5" s="1"/>
  <c r="J179" i="5" s="1"/>
  <c r="M179" i="5" s="1"/>
  <c r="R180" i="5" l="1"/>
  <c r="H180" i="5" s="1"/>
  <c r="J180" i="5" s="1"/>
  <c r="M180" i="5" s="1"/>
  <c r="R181" i="5" l="1"/>
  <c r="H181" i="5" s="1"/>
  <c r="J181" i="5" s="1"/>
  <c r="M181" i="5" s="1"/>
  <c r="R182" i="5" l="1"/>
  <c r="H182" i="5" s="1"/>
  <c r="J182" i="5" s="1"/>
  <c r="M182" i="5" s="1"/>
  <c r="R183" i="5" l="1"/>
  <c r="H183" i="5" s="1"/>
  <c r="J183" i="5" s="1"/>
  <c r="M183" i="5" s="1"/>
  <c r="R184" i="5" l="1"/>
  <c r="H184" i="5" s="1"/>
  <c r="J184" i="5" s="1"/>
  <c r="M184" i="5" s="1"/>
  <c r="R185" i="5" l="1"/>
  <c r="H185" i="5" s="1"/>
  <c r="J185" i="5" s="1"/>
  <c r="M185" i="5" s="1"/>
  <c r="R186" i="5" l="1"/>
  <c r="H186" i="5" s="1"/>
  <c r="J186" i="5" s="1"/>
  <c r="M186" i="5" s="1"/>
  <c r="R187" i="5" l="1"/>
  <c r="H187" i="5" s="1"/>
  <c r="J187" i="5" s="1"/>
  <c r="M187" i="5" s="1"/>
  <c r="R188" i="5" l="1"/>
  <c r="R189" i="5" s="1"/>
  <c r="R190" i="5" s="1"/>
  <c r="R191" i="5" s="1"/>
  <c r="H191" i="5" s="1"/>
  <c r="J191" i="5" s="1"/>
  <c r="R192" i="5" l="1"/>
  <c r="H192" i="5" s="1"/>
  <c r="J192" i="5" s="1"/>
  <c r="M192" i="5" s="1"/>
  <c r="R193" i="5" l="1"/>
  <c r="H193" i="5" s="1"/>
  <c r="J193" i="5" s="1"/>
  <c r="M193" i="5" s="1"/>
  <c r="R194" i="5" l="1"/>
  <c r="H194" i="5" s="1"/>
  <c r="J194" i="5" s="1"/>
  <c r="M194" i="5" s="1"/>
  <c r="R195" i="5" l="1"/>
  <c r="H195" i="5" s="1"/>
  <c r="J195" i="5" s="1"/>
  <c r="M195" i="5" s="1"/>
  <c r="R196" i="5" l="1"/>
  <c r="H196" i="5" s="1"/>
  <c r="J196" i="5" s="1"/>
  <c r="M196" i="5" s="1"/>
  <c r="R197" i="5" l="1"/>
  <c r="H197" i="5" s="1"/>
  <c r="J197" i="5" s="1"/>
  <c r="M197" i="5" s="1"/>
  <c r="R198" i="5" l="1"/>
  <c r="H198" i="5" s="1"/>
  <c r="J198" i="5" s="1"/>
  <c r="M198" i="5" s="1"/>
  <c r="R199" i="5" l="1"/>
  <c r="H199" i="5" s="1"/>
  <c r="J199" i="5" s="1"/>
  <c r="M199" i="5" s="1"/>
  <c r="R200" i="5" l="1"/>
  <c r="H200" i="5" s="1"/>
  <c r="J200" i="5" s="1"/>
  <c r="M200" i="5" s="1"/>
  <c r="R201" i="5" l="1"/>
  <c r="H201" i="5" s="1"/>
  <c r="J201" i="5" s="1"/>
  <c r="M201" i="5" s="1"/>
  <c r="R202" i="5" l="1"/>
  <c r="H202" i="5" s="1"/>
  <c r="J202" i="5" s="1"/>
  <c r="M202" i="5" s="1"/>
  <c r="R203" i="5" l="1"/>
  <c r="H203" i="5" s="1"/>
  <c r="J203" i="5" s="1"/>
  <c r="M203" i="5" s="1"/>
  <c r="R204" i="5" l="1"/>
  <c r="H204" i="5" s="1"/>
  <c r="J204" i="5" s="1"/>
  <c r="M204" i="5" s="1"/>
  <c r="R205" i="5" l="1"/>
  <c r="H205" i="5" s="1"/>
  <c r="J205" i="5" s="1"/>
  <c r="M205" i="5" s="1"/>
  <c r="R206" i="5" l="1"/>
  <c r="H206" i="5" s="1"/>
  <c r="J206" i="5" s="1"/>
  <c r="M206" i="5" s="1"/>
  <c r="R207" i="5" l="1"/>
  <c r="H207" i="5" s="1"/>
  <c r="J207" i="5" s="1"/>
  <c r="M207" i="5" s="1"/>
  <c r="R208" i="5" l="1"/>
  <c r="H208" i="5" s="1"/>
  <c r="J208" i="5" s="1"/>
  <c r="M208" i="5" s="1"/>
  <c r="R209" i="5" l="1"/>
  <c r="H209" i="5" s="1"/>
  <c r="J209" i="5" s="1"/>
  <c r="M209" i="5" s="1"/>
  <c r="R210" i="5" l="1"/>
  <c r="H210" i="5" s="1"/>
  <c r="J210" i="5" s="1"/>
  <c r="M210" i="5" s="1"/>
  <c r="R211" i="5" l="1"/>
  <c r="R212" i="5" s="1"/>
  <c r="R213" i="5" s="1"/>
  <c r="R214" i="5" s="1"/>
  <c r="H214" i="5" s="1"/>
  <c r="J214" i="5" s="1"/>
  <c r="R215" i="5" l="1"/>
  <c r="H215" i="5" s="1"/>
  <c r="J215" i="5" s="1"/>
  <c r="M215" i="5" s="1"/>
  <c r="R216" i="5" l="1"/>
  <c r="H216" i="5" s="1"/>
  <c r="J216" i="5" s="1"/>
  <c r="M216" i="5" s="1"/>
  <c r="R217" i="5" l="1"/>
  <c r="H217" i="5" s="1"/>
  <c r="J217" i="5" s="1"/>
  <c r="M217" i="5" s="1"/>
  <c r="R218" i="5" l="1"/>
  <c r="H218" i="5" s="1"/>
  <c r="J218" i="5" s="1"/>
  <c r="M218" i="5" s="1"/>
  <c r="R219" i="5" l="1"/>
  <c r="H219" i="5" s="1"/>
  <c r="J219" i="5" s="1"/>
  <c r="M219" i="5" s="1"/>
  <c r="R220" i="5" l="1"/>
  <c r="H220" i="5" s="1"/>
  <c r="J220" i="5" s="1"/>
  <c r="M220" i="5" s="1"/>
  <c r="R221" i="5" l="1"/>
  <c r="H221" i="5" s="1"/>
  <c r="J221" i="5" s="1"/>
  <c r="M221" i="5" s="1"/>
  <c r="R222" i="5" l="1"/>
  <c r="H222" i="5" s="1"/>
  <c r="J222" i="5" s="1"/>
  <c r="M222" i="5" s="1"/>
  <c r="R223" i="5" l="1"/>
  <c r="H223" i="5" s="1"/>
  <c r="J223" i="5" s="1"/>
  <c r="M223" i="5" s="1"/>
  <c r="R224" i="5" l="1"/>
  <c r="H224" i="5" s="1"/>
  <c r="J224" i="5" s="1"/>
  <c r="M224" i="5" s="1"/>
  <c r="R225" i="5" l="1"/>
  <c r="H225" i="5" s="1"/>
  <c r="J225" i="5" s="1"/>
  <c r="M225" i="5" s="1"/>
  <c r="R226" i="5" l="1"/>
  <c r="H226" i="5" s="1"/>
  <c r="J226" i="5" s="1"/>
  <c r="M226" i="5" s="1"/>
  <c r="R227" i="5" l="1"/>
  <c r="H227" i="5" s="1"/>
  <c r="J227" i="5" s="1"/>
  <c r="M227" i="5" s="1"/>
  <c r="R228" i="5" l="1"/>
  <c r="H228" i="5" s="1"/>
  <c r="J228" i="5" s="1"/>
  <c r="M228" i="5" s="1"/>
  <c r="R229" i="5" l="1"/>
  <c r="H229" i="5" s="1"/>
  <c r="J229" i="5" s="1"/>
  <c r="M229" i="5" s="1"/>
  <c r="R230" i="5" l="1"/>
  <c r="H230" i="5" s="1"/>
  <c r="J230" i="5" s="1"/>
  <c r="M230" i="5" s="1"/>
  <c r="R231" i="5" l="1"/>
  <c r="H231" i="5" s="1"/>
  <c r="J231" i="5" s="1"/>
  <c r="M231" i="5" s="1"/>
  <c r="R232" i="5" l="1"/>
  <c r="H232" i="5" s="1"/>
  <c r="J232" i="5" s="1"/>
  <c r="M232" i="5" s="1"/>
  <c r="R233" i="5" l="1"/>
  <c r="H233" i="5" s="1"/>
  <c r="J233" i="5" s="1"/>
  <c r="M233" i="5" s="1"/>
  <c r="R234" i="5" l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R340" i="5" s="1"/>
  <c r="R341" i="5" s="1"/>
  <c r="R342" i="5" s="1"/>
  <c r="R343" i="5" s="1"/>
  <c r="R34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<sst xmlns="http://schemas.openxmlformats.org/spreadsheetml/2006/main" count="88" uniqueCount="16">
  <si>
    <r>
      <rPr>
        <sz val="18"/>
        <color theme="1"/>
        <rFont val="宋体"/>
        <family val="3"/>
        <charset val="134"/>
      </rPr>
      <t>难度分：</t>
    </r>
    <phoneticPr fontId="3" type="noConversion"/>
  </si>
  <si>
    <r>
      <rPr>
        <sz val="18"/>
        <color theme="1"/>
        <rFont val="宋体"/>
        <family val="2"/>
        <charset val="134"/>
      </rPr>
      <t>阈值：</t>
    </r>
    <phoneticPr fontId="3" type="noConversion"/>
  </si>
  <si>
    <r>
      <rPr>
        <sz val="18"/>
        <color theme="1"/>
        <rFont val="宋体"/>
        <family val="3"/>
        <charset val="134"/>
      </rPr>
      <t>盾分：</t>
    </r>
    <phoneticPr fontId="3" type="noConversion"/>
  </si>
  <si>
    <r>
      <rPr>
        <sz val="18"/>
        <color theme="1"/>
        <rFont val="宋体"/>
        <family val="2"/>
        <charset val="134"/>
      </rPr>
      <t>伤害分系数：</t>
    </r>
    <phoneticPr fontId="3" type="noConversion"/>
  </si>
  <si>
    <r>
      <rPr>
        <sz val="18"/>
        <color theme="1"/>
        <rFont val="宋体"/>
        <family val="3"/>
        <charset val="134"/>
      </rPr>
      <t>回合</t>
    </r>
    <phoneticPr fontId="3" type="noConversion"/>
  </si>
  <si>
    <r>
      <rPr>
        <sz val="18"/>
        <color theme="1"/>
        <rFont val="宋体"/>
        <family val="3"/>
        <charset val="134"/>
      </rPr>
      <t>回合系数</t>
    </r>
    <phoneticPr fontId="3" type="noConversion"/>
  </si>
  <si>
    <r>
      <rPr>
        <sz val="18"/>
        <color theme="1"/>
        <rFont val="宋体"/>
        <family val="3"/>
        <charset val="134"/>
      </rPr>
      <t>目标分数</t>
    </r>
    <phoneticPr fontId="3" type="noConversion"/>
  </si>
  <si>
    <r>
      <rPr>
        <sz val="18"/>
        <color theme="1"/>
        <rFont val="宋体"/>
        <family val="3"/>
        <charset val="134"/>
      </rPr>
      <t>伤害分</t>
    </r>
    <phoneticPr fontId="3" type="noConversion"/>
  </si>
  <si>
    <t>主刀衰减后伤害</t>
    <phoneticPr fontId="3" type="noConversion"/>
  </si>
  <si>
    <t>主刀衰减前伤害</t>
    <phoneticPr fontId="3" type="noConversion"/>
  </si>
  <si>
    <t>垫刀伤害</t>
    <phoneticPr fontId="3" type="noConversion"/>
  </si>
  <si>
    <t>/</t>
    <phoneticPr fontId="3" type="noConversion"/>
  </si>
  <si>
    <r>
      <t>300%</t>
    </r>
    <r>
      <rPr>
        <sz val="18"/>
        <color theme="1"/>
        <rFont val="宋体"/>
        <family val="2"/>
        <charset val="134"/>
      </rPr>
      <t>旧</t>
    </r>
    <phoneticPr fontId="3" type="noConversion"/>
  </si>
  <si>
    <t>难度：</t>
    <phoneticPr fontId="3" type="noConversion"/>
  </si>
  <si>
    <t>破坏率：</t>
    <phoneticPr fontId="3" type="noConversion"/>
  </si>
  <si>
    <r>
      <rPr>
        <sz val="18"/>
        <color theme="1"/>
        <rFont val="宋体"/>
        <family val="2"/>
        <charset val="134"/>
      </rPr>
      <t>有下拉列表</t>
    </r>
    <r>
      <rPr>
        <sz val="18"/>
        <color theme="1"/>
        <rFont val="Times New Roman"/>
        <family val="2"/>
        <charset val="134"/>
      </rPr>
      <t>→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</si>
</sst>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8"/>
      <color theme="1"/>
      <name val="Times New Roman"/>
      <family val="2"/>
      <charset val="134"/>
    </font>
    <font>
      <sz val="18"/>
      <color theme="0"/>
      <name val="Times New Roman"/>
      <family val="2"/>
      <charset val="134"/>
    </font>
    <font>
      <sz val="18"/>
      <color theme="1"/>
      <name val="Times New Roman"/>
      <family val="1"/>
    </font>
    <font>
      <sz val="9"/>
      <name val="Times New Roman"/>
      <family val="2"/>
      <charset val="134"/>
    </font>
    <font>
      <sz val="18"/>
      <color theme="1"/>
      <name val="宋体"/>
      <family val="3"/>
      <charset val="134"/>
    </font>
    <font>
      <sz val="18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4119-E455-47B9-A613-E2778E875E0D}">
  <dimension ref="A1:AE813"/>
  <sheetViews>
    <sheetView tabSelected="1" zoomScale="70" zoomScaleNormal="70" workbookViewId="0">
      <selection activeCell="P160" sqref="P1:P1048576"/>
    </sheetView>
  </sheetViews>
  <sheetFormatPr defaultRowHeight="22.9" x14ac:dyDescent="0.65"/>
  <cols>
    <col min="1" max="1" width="8.6640625" style="3"/>
    <col min="2" max="6" width="8.6640625" style="2"/>
    <col min="7" max="7" width="8.83203125" style="2" bestFit="1" customWidth="1"/>
    <col min="8" max="11" width="8.6640625" style="2"/>
    <col min="12" max="12" width="9.5390625" style="2" customWidth="1"/>
    <col min="13" max="17" width="8.6640625" style="2"/>
    <col min="18" max="18" width="9.1640625" style="2" bestFit="1" customWidth="1"/>
    <col min="19" max="16384" width="8.6640625" style="2"/>
  </cols>
  <sheetData>
    <row r="1" spans="1:31" ht="23.25" thickBot="1" x14ac:dyDescent="0.7">
      <c r="A1" s="3">
        <v>1</v>
      </c>
      <c r="C1" s="7"/>
      <c r="D1" s="7"/>
      <c r="E1" s="7"/>
      <c r="F1" s="7"/>
      <c r="G1" s="7"/>
    </row>
    <row r="2" spans="1:31" ht="23.65" thickBot="1" x14ac:dyDescent="0.7">
      <c r="A2" s="3">
        <f t="shared" ref="A2:A65" si="0">A1+1</f>
        <v>2</v>
      </c>
      <c r="B2" s="11" t="s">
        <v>15</v>
      </c>
      <c r="C2" s="11"/>
      <c r="D2" s="4" t="s">
        <v>13</v>
      </c>
      <c r="E2" s="8">
        <v>40</v>
      </c>
      <c r="H2" s="1" t="s">
        <v>0</v>
      </c>
      <c r="I2" s="1" cm="1">
        <f t="array" ref="I2">_xlfn.SWITCH(E2,40,700000,39,646700,38,593764,37,548141,36,503175,"39旧",630000,"38旧",620000,"37旧",610000,"36旧",600000)</f>
        <v>700000</v>
      </c>
      <c r="J2" s="12" t="s">
        <v>1</v>
      </c>
      <c r="K2" s="12"/>
      <c r="L2" s="1" cm="1">
        <f t="array" ref="L2">_xlfn.SWITCH(E3,300%,_xlfn.SWITCH(E2,40,8708709,39,8119572,38,7530436,37,7014941,36,6499447),500%,_xlfn.SWITCH(E2,40,13888889,39,12949318,38,12009747,37,11187622,36,10365497),700%,_xlfn.SWITCH(E2,40,18568569,39,17312421,38,16056274,37,14957145,36,13858016),999%,_xlfn.SWITCH(E2,40,25000000,39,23308772,38,21617544,37,20137719,36,18657895))</f>
        <v>8708709</v>
      </c>
    </row>
    <row r="3" spans="1:31" ht="23.65" thickBot="1" x14ac:dyDescent="0.7">
      <c r="A3" s="3">
        <f t="shared" si="0"/>
        <v>3</v>
      </c>
      <c r="B3" s="11"/>
      <c r="C3" s="11"/>
      <c r="D3" s="4" t="s">
        <v>14</v>
      </c>
      <c r="E3" s="9">
        <v>3</v>
      </c>
      <c r="H3" s="1" t="s">
        <v>2</v>
      </c>
      <c r="I3" s="1" cm="1">
        <f t="array" ref="I3">_xlfn.SWITCH(E2,40,150000,39,138316,38,126843,37,116947,36,107191,"39旧",145000,"38旧",140000,"37旧",135000,"36旧",130000)</f>
        <v>150000</v>
      </c>
      <c r="J3" s="12" t="s">
        <v>3</v>
      </c>
      <c r="K3" s="12"/>
      <c r="L3" s="1" cm="1">
        <f t="array" ref="L3">_xlfn.SWITCH(E3,300%,0.029,500%,0.018,700%,0.013,999%,0.01,"300%旧",0.029)</f>
        <v>2.9000000000000001E-2</v>
      </c>
      <c r="AA3" s="6">
        <v>3</v>
      </c>
      <c r="AB3" s="6">
        <v>5</v>
      </c>
      <c r="AC3" s="6">
        <v>7</v>
      </c>
      <c r="AD3" s="6">
        <v>9.99</v>
      </c>
      <c r="AE3" s="2" t="s">
        <v>12</v>
      </c>
    </row>
    <row r="4" spans="1:31" x14ac:dyDescent="0.65">
      <c r="A4" s="3">
        <f t="shared" si="0"/>
        <v>4</v>
      </c>
    </row>
    <row r="5" spans="1:31" x14ac:dyDescent="0.65">
      <c r="A5" s="3">
        <f t="shared" si="0"/>
        <v>5</v>
      </c>
    </row>
    <row r="6" spans="1:31" ht="23.65" thickBot="1" x14ac:dyDescent="0.7">
      <c r="A6" s="3">
        <f t="shared" si="0"/>
        <v>6</v>
      </c>
      <c r="B6" s="1" t="s">
        <v>4</v>
      </c>
      <c r="C6" s="1" t="s">
        <v>5</v>
      </c>
      <c r="D6" s="12" t="s">
        <v>6</v>
      </c>
      <c r="E6" s="12"/>
      <c r="F6" s="12" t="s">
        <v>7</v>
      </c>
      <c r="G6" s="12"/>
      <c r="H6" s="10" t="s">
        <v>8</v>
      </c>
      <c r="I6" s="11"/>
      <c r="J6" s="10" t="s">
        <v>9</v>
      </c>
      <c r="K6" s="11"/>
      <c r="L6" s="4" t="s">
        <v>10</v>
      </c>
    </row>
    <row r="7" spans="1:31" ht="23.25" thickBot="1" x14ac:dyDescent="0.7">
      <c r="A7" s="3">
        <f t="shared" si="0"/>
        <v>7</v>
      </c>
      <c r="B7" s="1">
        <v>1</v>
      </c>
      <c r="C7" s="1">
        <v>1.3</v>
      </c>
      <c r="D7" s="14">
        <f>50000*(A7-7)/23+2600000</f>
        <v>2600000</v>
      </c>
      <c r="E7" s="15"/>
      <c r="F7" s="12">
        <f>D7/C7/1.35-U7-V7</f>
        <v>631481.48148148134</v>
      </c>
      <c r="G7" s="12"/>
      <c r="H7" s="12">
        <f>(R7*EXP(F7/(R7*S7)-1)-L7)</f>
        <v>39045195.312995292</v>
      </c>
      <c r="I7" s="12"/>
      <c r="J7" s="11">
        <f t="shared" ref="J7:J26" si="1">IF(H7&gt;=1000000000,(1-(LN(2-H7/10^9))/0.7)*10^9,H7)</f>
        <v>39045195.312995292</v>
      </c>
      <c r="K7" s="11"/>
      <c r="M7" s="12" t="s">
        <v>11</v>
      </c>
      <c r="N7" s="12"/>
      <c r="O7" s="11"/>
      <c r="P7" s="11"/>
      <c r="R7" s="2">
        <f>L2</f>
        <v>8708709</v>
      </c>
      <c r="S7" s="2">
        <f>L3</f>
        <v>2.9000000000000001E-2</v>
      </c>
      <c r="U7" s="2">
        <f>I2</f>
        <v>700000</v>
      </c>
      <c r="V7" s="2">
        <f>I3</f>
        <v>150000</v>
      </c>
    </row>
    <row r="8" spans="1:31" x14ac:dyDescent="0.65">
      <c r="A8" s="3">
        <f t="shared" si="0"/>
        <v>8</v>
      </c>
      <c r="B8" s="1">
        <v>2</v>
      </c>
      <c r="C8" s="1">
        <f>C7-0.01</f>
        <v>1.29</v>
      </c>
      <c r="D8" s="12">
        <f t="shared" ref="D8:D26" si="2">D7</f>
        <v>2600000</v>
      </c>
      <c r="E8" s="12"/>
      <c r="F8" s="12">
        <f t="shared" ref="F8:F26" si="3">D8/C8/1.35-U8-V8</f>
        <v>642965.83405110519</v>
      </c>
      <c r="G8" s="12"/>
      <c r="H8" s="12">
        <f t="shared" ref="H8:H26" si="4">(R8*EXP(F8/(R8*S8)-1)-L8)</f>
        <v>40861689.947672151</v>
      </c>
      <c r="I8" s="12"/>
      <c r="J8" s="11">
        <f t="shared" si="1"/>
        <v>40861689.947672151</v>
      </c>
      <c r="K8" s="11"/>
      <c r="M8" s="13">
        <f t="shared" ref="M8:M26" si="5">J8/J7-1</f>
        <v>4.6522872279557648E-2</v>
      </c>
      <c r="N8" s="13"/>
      <c r="O8" s="11"/>
      <c r="P8" s="11"/>
      <c r="R8" s="2">
        <f>R7</f>
        <v>8708709</v>
      </c>
      <c r="S8" s="2">
        <f>S7</f>
        <v>2.9000000000000001E-2</v>
      </c>
      <c r="U8" s="2">
        <f>U7</f>
        <v>700000</v>
      </c>
      <c r="V8" s="2">
        <f>V7</f>
        <v>150000</v>
      </c>
    </row>
    <row r="9" spans="1:31" x14ac:dyDescent="0.65">
      <c r="A9" s="3">
        <f t="shared" si="0"/>
        <v>9</v>
      </c>
      <c r="B9" s="1">
        <v>3</v>
      </c>
      <c r="C9" s="1">
        <f>C8-0.01</f>
        <v>1.28</v>
      </c>
      <c r="D9" s="12">
        <f t="shared" si="2"/>
        <v>2600000</v>
      </c>
      <c r="E9" s="12"/>
      <c r="F9" s="12">
        <f t="shared" si="3"/>
        <v>654629.62962962943</v>
      </c>
      <c r="G9" s="12"/>
      <c r="H9" s="12">
        <f t="shared" si="4"/>
        <v>42793087.567754038</v>
      </c>
      <c r="I9" s="12"/>
      <c r="J9" s="11">
        <f t="shared" si="1"/>
        <v>42793087.567754038</v>
      </c>
      <c r="K9" s="11"/>
      <c r="M9" s="13">
        <f t="shared" si="5"/>
        <v>4.7266709295558984E-2</v>
      </c>
      <c r="N9" s="13"/>
      <c r="O9" s="11"/>
      <c r="P9" s="11"/>
      <c r="R9" s="2">
        <f t="shared" ref="R9:R72" si="6">R8</f>
        <v>8708709</v>
      </c>
      <c r="S9" s="2">
        <f t="shared" ref="S9:S72" si="7">S8</f>
        <v>2.9000000000000001E-2</v>
      </c>
      <c r="U9" s="2">
        <f>U8</f>
        <v>700000</v>
      </c>
      <c r="V9" s="2">
        <f>V8</f>
        <v>150000</v>
      </c>
    </row>
    <row r="10" spans="1:31" x14ac:dyDescent="0.65">
      <c r="A10" s="3">
        <f t="shared" si="0"/>
        <v>10</v>
      </c>
      <c r="B10" s="1">
        <v>4</v>
      </c>
      <c r="C10" s="1">
        <f>C9-0.01</f>
        <v>1.27</v>
      </c>
      <c r="D10" s="12">
        <f t="shared" si="2"/>
        <v>2600000</v>
      </c>
      <c r="E10" s="12"/>
      <c r="F10" s="12">
        <f t="shared" si="3"/>
        <v>666477.10702828784</v>
      </c>
      <c r="G10" s="12"/>
      <c r="H10" s="12">
        <f t="shared" si="4"/>
        <v>44848382.42825532</v>
      </c>
      <c r="I10" s="12"/>
      <c r="J10" s="11">
        <f t="shared" si="1"/>
        <v>44848382.42825532</v>
      </c>
      <c r="K10" s="11"/>
      <c r="M10" s="13">
        <f t="shared" si="5"/>
        <v>4.8028664845628288E-2</v>
      </c>
      <c r="N10" s="13"/>
      <c r="O10" s="11"/>
      <c r="P10" s="11"/>
      <c r="R10" s="2">
        <f t="shared" si="6"/>
        <v>8708709</v>
      </c>
      <c r="S10" s="2">
        <f t="shared" si="7"/>
        <v>2.9000000000000001E-2</v>
      </c>
      <c r="U10" s="2">
        <f t="shared" ref="U10:U73" si="8">U9</f>
        <v>700000</v>
      </c>
      <c r="V10" s="2">
        <f t="shared" ref="V10:V73" si="9">V9</f>
        <v>150000</v>
      </c>
    </row>
    <row r="11" spans="1:31" x14ac:dyDescent="0.65">
      <c r="A11" s="3">
        <f t="shared" si="0"/>
        <v>11</v>
      </c>
      <c r="B11" s="1">
        <v>5</v>
      </c>
      <c r="C11" s="1">
        <f>C10-0.01</f>
        <v>1.26</v>
      </c>
      <c r="D11" s="12">
        <f t="shared" si="2"/>
        <v>2600000</v>
      </c>
      <c r="E11" s="12"/>
      <c r="F11" s="12">
        <f t="shared" si="3"/>
        <v>678512.6396237507</v>
      </c>
      <c r="G11" s="12"/>
      <c r="H11" s="12">
        <f t="shared" si="4"/>
        <v>47037402.218881778</v>
      </c>
      <c r="I11" s="12"/>
      <c r="J11" s="11">
        <f t="shared" si="1"/>
        <v>47037402.218881778</v>
      </c>
      <c r="K11" s="11"/>
      <c r="M11" s="13">
        <f t="shared" si="5"/>
        <v>4.8809336526869584E-2</v>
      </c>
      <c r="N11" s="13"/>
      <c r="O11" s="11"/>
      <c r="P11" s="11"/>
      <c r="R11" s="2">
        <f t="shared" si="6"/>
        <v>8708709</v>
      </c>
      <c r="S11" s="2">
        <f t="shared" si="7"/>
        <v>2.9000000000000001E-2</v>
      </c>
      <c r="U11" s="2">
        <f t="shared" si="8"/>
        <v>700000</v>
      </c>
      <c r="V11" s="2">
        <f t="shared" si="9"/>
        <v>150000</v>
      </c>
    </row>
    <row r="12" spans="1:31" x14ac:dyDescent="0.65">
      <c r="A12" s="3">
        <f t="shared" si="0"/>
        <v>12</v>
      </c>
      <c r="B12" s="1">
        <v>6</v>
      </c>
      <c r="C12" s="1">
        <v>1.24</v>
      </c>
      <c r="D12" s="12">
        <f t="shared" si="2"/>
        <v>2600000</v>
      </c>
      <c r="E12" s="12"/>
      <c r="F12" s="12">
        <f t="shared" si="3"/>
        <v>703166.06929510157</v>
      </c>
      <c r="G12" s="12"/>
      <c r="H12" s="12">
        <f t="shared" si="4"/>
        <v>51860639.025830768</v>
      </c>
      <c r="I12" s="12"/>
      <c r="J12" s="11">
        <f t="shared" si="1"/>
        <v>51860639.025830768</v>
      </c>
      <c r="K12" s="11"/>
      <c r="M12" s="13">
        <f t="shared" si="5"/>
        <v>0.10254045885665097</v>
      </c>
      <c r="N12" s="13"/>
      <c r="O12" s="11"/>
      <c r="P12" s="11"/>
      <c r="R12" s="2">
        <f t="shared" si="6"/>
        <v>8708709</v>
      </c>
      <c r="S12" s="2">
        <f t="shared" si="7"/>
        <v>2.9000000000000001E-2</v>
      </c>
      <c r="U12" s="2">
        <f t="shared" si="8"/>
        <v>700000</v>
      </c>
      <c r="V12" s="2">
        <f t="shared" si="9"/>
        <v>150000</v>
      </c>
    </row>
    <row r="13" spans="1:31" x14ac:dyDescent="0.65">
      <c r="A13" s="3">
        <f t="shared" si="0"/>
        <v>13</v>
      </c>
      <c r="B13" s="1">
        <v>7</v>
      </c>
      <c r="C13" s="1">
        <f>C12-0.01</f>
        <v>1.23</v>
      </c>
      <c r="D13" s="12">
        <f t="shared" si="2"/>
        <v>2600000</v>
      </c>
      <c r="E13" s="12"/>
      <c r="F13" s="12">
        <f t="shared" si="3"/>
        <v>715793.4357121347</v>
      </c>
      <c r="G13" s="12"/>
      <c r="H13" s="12">
        <f t="shared" si="4"/>
        <v>54519534.367659062</v>
      </c>
      <c r="I13" s="12"/>
      <c r="J13" s="11">
        <f t="shared" si="1"/>
        <v>54519534.367659062</v>
      </c>
      <c r="K13" s="11"/>
      <c r="M13" s="13">
        <f t="shared" si="5"/>
        <v>5.127000730754494E-2</v>
      </c>
      <c r="N13" s="13"/>
      <c r="O13" s="11"/>
      <c r="P13" s="11"/>
      <c r="R13" s="2">
        <f t="shared" si="6"/>
        <v>8708709</v>
      </c>
      <c r="S13" s="2">
        <f t="shared" si="7"/>
        <v>2.9000000000000001E-2</v>
      </c>
      <c r="U13" s="2">
        <f t="shared" si="8"/>
        <v>700000</v>
      </c>
      <c r="V13" s="2">
        <f t="shared" si="9"/>
        <v>150000</v>
      </c>
    </row>
    <row r="14" spans="1:31" x14ac:dyDescent="0.65">
      <c r="A14" s="3">
        <f t="shared" si="0"/>
        <v>14</v>
      </c>
      <c r="B14" s="1">
        <v>8</v>
      </c>
      <c r="C14" s="1">
        <f>C13-0.01</f>
        <v>1.22</v>
      </c>
      <c r="D14" s="12">
        <f t="shared" si="2"/>
        <v>2600000</v>
      </c>
      <c r="E14" s="12"/>
      <c r="F14" s="12">
        <f t="shared" si="3"/>
        <v>728627.80813600472</v>
      </c>
      <c r="G14" s="12"/>
      <c r="H14" s="12">
        <f t="shared" ref="H14:H23" si="10">(R14*EXP(F14/(R14*S14)-1)-L14)</f>
        <v>57361748.882339895</v>
      </c>
      <c r="I14" s="12"/>
      <c r="J14" s="11">
        <f t="shared" si="1"/>
        <v>57361748.882339895</v>
      </c>
      <c r="K14" s="11"/>
      <c r="M14" s="13">
        <f t="shared" si="5"/>
        <v>5.2132039417541964E-2</v>
      </c>
      <c r="N14" s="13"/>
      <c r="O14" s="11"/>
      <c r="P14" s="11"/>
      <c r="R14" s="2">
        <f t="shared" si="6"/>
        <v>8708709</v>
      </c>
      <c r="S14" s="2">
        <f t="shared" si="7"/>
        <v>2.9000000000000001E-2</v>
      </c>
      <c r="U14" s="2">
        <f t="shared" si="8"/>
        <v>700000</v>
      </c>
      <c r="V14" s="2">
        <f t="shared" si="9"/>
        <v>150000</v>
      </c>
    </row>
    <row r="15" spans="1:31" x14ac:dyDescent="0.65">
      <c r="A15" s="3">
        <f t="shared" si="0"/>
        <v>15</v>
      </c>
      <c r="B15" s="1">
        <v>9</v>
      </c>
      <c r="C15" s="1">
        <f t="shared" ref="C15:C26" si="11">C14-0.01</f>
        <v>1.21</v>
      </c>
      <c r="D15" s="12">
        <f t="shared" si="2"/>
        <v>2600000</v>
      </c>
      <c r="E15" s="12"/>
      <c r="F15" s="12">
        <f t="shared" si="3"/>
        <v>741674.3189470463</v>
      </c>
      <c r="G15" s="12"/>
      <c r="H15" s="12">
        <f t="shared" si="10"/>
        <v>60402849.548162483</v>
      </c>
      <c r="I15" s="12"/>
      <c r="J15" s="11">
        <f t="shared" si="1"/>
        <v>60402849.548162483</v>
      </c>
      <c r="K15" s="11"/>
      <c r="M15" s="13">
        <f t="shared" si="5"/>
        <v>5.3016177593547154E-2</v>
      </c>
      <c r="N15" s="13"/>
      <c r="O15" s="11"/>
      <c r="P15" s="11"/>
      <c r="R15" s="2">
        <f t="shared" si="6"/>
        <v>8708709</v>
      </c>
      <c r="S15" s="2">
        <f t="shared" si="7"/>
        <v>2.9000000000000001E-2</v>
      </c>
      <c r="U15" s="2">
        <f t="shared" si="8"/>
        <v>700000</v>
      </c>
      <c r="V15" s="2">
        <f t="shared" si="9"/>
        <v>150000</v>
      </c>
    </row>
    <row r="16" spans="1:31" x14ac:dyDescent="0.65">
      <c r="A16" s="3">
        <f t="shared" si="0"/>
        <v>16</v>
      </c>
      <c r="B16" s="1">
        <v>10</v>
      </c>
      <c r="C16" s="1">
        <f t="shared" si="11"/>
        <v>1.2</v>
      </c>
      <c r="D16" s="12">
        <f t="shared" si="2"/>
        <v>2600000</v>
      </c>
      <c r="E16" s="12"/>
      <c r="F16" s="12">
        <f t="shared" si="3"/>
        <v>754938.27160493843</v>
      </c>
      <c r="G16" s="12"/>
      <c r="H16" s="12">
        <f t="shared" si="10"/>
        <v>63659963.898448996</v>
      </c>
      <c r="I16" s="12"/>
      <c r="J16" s="11">
        <f t="shared" si="1"/>
        <v>63659963.898448996</v>
      </c>
      <c r="K16" s="11"/>
      <c r="M16" s="13">
        <f t="shared" si="5"/>
        <v>5.3923190290707135E-2</v>
      </c>
      <c r="N16" s="13"/>
      <c r="O16" s="11"/>
      <c r="P16" s="11"/>
      <c r="R16" s="2">
        <f t="shared" si="6"/>
        <v>8708709</v>
      </c>
      <c r="S16" s="2">
        <f t="shared" si="7"/>
        <v>2.9000000000000001E-2</v>
      </c>
      <c r="U16" s="2">
        <f t="shared" si="8"/>
        <v>700000</v>
      </c>
      <c r="V16" s="2">
        <f t="shared" si="9"/>
        <v>150000</v>
      </c>
    </row>
    <row r="17" spans="1:22" x14ac:dyDescent="0.65">
      <c r="A17" s="3">
        <f t="shared" si="0"/>
        <v>17</v>
      </c>
      <c r="B17" s="1">
        <v>11</v>
      </c>
      <c r="C17" s="1">
        <f t="shared" si="11"/>
        <v>1.19</v>
      </c>
      <c r="D17" s="12">
        <f t="shared" si="2"/>
        <v>2600000</v>
      </c>
      <c r="E17" s="12"/>
      <c r="F17" s="12">
        <f t="shared" si="3"/>
        <v>768425.14783691266</v>
      </c>
      <c r="G17" s="12"/>
      <c r="H17" s="12">
        <f t="shared" si="10"/>
        <v>67151959.91285792</v>
      </c>
      <c r="I17" s="12"/>
      <c r="J17" s="11">
        <f t="shared" si="1"/>
        <v>67151959.91285792</v>
      </c>
      <c r="K17" s="11"/>
      <c r="M17" s="13">
        <f t="shared" si="5"/>
        <v>5.4853879904477987E-2</v>
      </c>
      <c r="N17" s="13"/>
      <c r="O17" s="11"/>
      <c r="P17" s="11"/>
      <c r="R17" s="2">
        <f t="shared" si="6"/>
        <v>8708709</v>
      </c>
      <c r="S17" s="2">
        <f t="shared" si="7"/>
        <v>2.9000000000000001E-2</v>
      </c>
      <c r="U17" s="2">
        <f t="shared" si="8"/>
        <v>700000</v>
      </c>
      <c r="V17" s="2">
        <f t="shared" si="9"/>
        <v>150000</v>
      </c>
    </row>
    <row r="18" spans="1:22" x14ac:dyDescent="0.65">
      <c r="A18" s="3">
        <f t="shared" si="0"/>
        <v>18</v>
      </c>
      <c r="B18" s="1">
        <v>12</v>
      </c>
      <c r="C18" s="1">
        <f t="shared" si="11"/>
        <v>1.18</v>
      </c>
      <c r="D18" s="12">
        <f t="shared" si="2"/>
        <v>2600000</v>
      </c>
      <c r="E18" s="12"/>
      <c r="F18" s="12">
        <f t="shared" si="3"/>
        <v>782140.61519146268</v>
      </c>
      <c r="G18" s="12"/>
      <c r="H18" s="12">
        <f t="shared" si="10"/>
        <v>70899649.324587956</v>
      </c>
      <c r="I18" s="12"/>
      <c r="J18" s="11">
        <f t="shared" si="1"/>
        <v>70899649.324587956</v>
      </c>
      <c r="K18" s="11"/>
      <c r="M18" s="13">
        <f t="shared" si="5"/>
        <v>5.5809084598474223E-2</v>
      </c>
      <c r="N18" s="13"/>
      <c r="O18" s="11"/>
      <c r="P18" s="11"/>
      <c r="R18" s="2">
        <f t="shared" si="6"/>
        <v>8708709</v>
      </c>
      <c r="S18" s="2">
        <f t="shared" si="7"/>
        <v>2.9000000000000001E-2</v>
      </c>
      <c r="U18" s="2">
        <f t="shared" si="8"/>
        <v>700000</v>
      </c>
      <c r="V18" s="2">
        <f t="shared" si="9"/>
        <v>150000</v>
      </c>
    </row>
    <row r="19" spans="1:22" x14ac:dyDescent="0.65">
      <c r="A19" s="3">
        <f t="shared" si="0"/>
        <v>19</v>
      </c>
      <c r="B19" s="1">
        <v>13</v>
      </c>
      <c r="C19" s="1">
        <f t="shared" si="11"/>
        <v>1.17</v>
      </c>
      <c r="D19" s="12">
        <f t="shared" si="2"/>
        <v>2600000</v>
      </c>
      <c r="E19" s="12"/>
      <c r="F19" s="12">
        <f t="shared" si="3"/>
        <v>796090.53497942397</v>
      </c>
      <c r="G19" s="12"/>
      <c r="H19" s="12">
        <f t="shared" si="10"/>
        <v>74926017.739494398</v>
      </c>
      <c r="I19" s="12"/>
      <c r="J19" s="11">
        <f t="shared" si="1"/>
        <v>74926017.739494398</v>
      </c>
      <c r="K19" s="11"/>
      <c r="M19" s="13">
        <f t="shared" si="5"/>
        <v>5.6789680248955809E-2</v>
      </c>
      <c r="N19" s="13"/>
      <c r="O19" s="11"/>
      <c r="P19" s="11"/>
      <c r="R19" s="2">
        <f t="shared" si="6"/>
        <v>8708709</v>
      </c>
      <c r="S19" s="2">
        <f t="shared" si="7"/>
        <v>2.9000000000000001E-2</v>
      </c>
      <c r="U19" s="2">
        <f t="shared" si="8"/>
        <v>700000</v>
      </c>
      <c r="V19" s="2">
        <f t="shared" si="9"/>
        <v>150000</v>
      </c>
    </row>
    <row r="20" spans="1:22" x14ac:dyDescent="0.65">
      <c r="A20" s="3">
        <f t="shared" si="0"/>
        <v>20</v>
      </c>
      <c r="B20" s="1">
        <v>14</v>
      </c>
      <c r="C20" s="1">
        <f t="shared" si="11"/>
        <v>1.1599999999999999</v>
      </c>
      <c r="D20" s="12">
        <f t="shared" si="2"/>
        <v>2600000</v>
      </c>
      <c r="E20" s="12"/>
      <c r="F20" s="12">
        <f t="shared" si="3"/>
        <v>810280.97062579822</v>
      </c>
      <c r="G20" s="12"/>
      <c r="H20" s="12">
        <f t="shared" si="10"/>
        <v>79256485.506266549</v>
      </c>
      <c r="I20" s="12"/>
      <c r="J20" s="11">
        <f t="shared" si="1"/>
        <v>79256485.506266549</v>
      </c>
      <c r="K20" s="11"/>
      <c r="M20" s="13">
        <f t="shared" si="5"/>
        <v>5.7796582514614503E-2</v>
      </c>
      <c r="N20" s="13"/>
      <c r="O20" s="11"/>
      <c r="P20" s="11"/>
      <c r="R20" s="2">
        <f t="shared" si="6"/>
        <v>8708709</v>
      </c>
      <c r="S20" s="2">
        <f t="shared" si="7"/>
        <v>2.9000000000000001E-2</v>
      </c>
      <c r="U20" s="2">
        <f t="shared" si="8"/>
        <v>700000</v>
      </c>
      <c r="V20" s="2">
        <f t="shared" si="9"/>
        <v>150000</v>
      </c>
    </row>
    <row r="21" spans="1:22" x14ac:dyDescent="0.65">
      <c r="A21" s="3">
        <f t="shared" si="0"/>
        <v>21</v>
      </c>
      <c r="B21" s="1">
        <v>15</v>
      </c>
      <c r="C21" s="1">
        <f t="shared" si="11"/>
        <v>1.1499999999999999</v>
      </c>
      <c r="D21" s="12">
        <f t="shared" si="2"/>
        <v>2600000</v>
      </c>
      <c r="E21" s="12"/>
      <c r="F21" s="12">
        <f t="shared" si="3"/>
        <v>824718.19645732688</v>
      </c>
      <c r="G21" s="12"/>
      <c r="H21" s="12">
        <f t="shared" si="10"/>
        <v>83919203.914959431</v>
      </c>
      <c r="I21" s="12"/>
      <c r="J21" s="11">
        <f t="shared" si="1"/>
        <v>83919203.914959431</v>
      </c>
      <c r="K21" s="11"/>
      <c r="M21" s="13">
        <f t="shared" si="5"/>
        <v>5.8830749041026031E-2</v>
      </c>
      <c r="N21" s="13"/>
      <c r="O21" s="11"/>
      <c r="P21" s="11"/>
      <c r="R21" s="2">
        <f t="shared" si="6"/>
        <v>8708709</v>
      </c>
      <c r="S21" s="2">
        <f t="shared" si="7"/>
        <v>2.9000000000000001E-2</v>
      </c>
      <c r="U21" s="2">
        <f t="shared" si="8"/>
        <v>700000</v>
      </c>
      <c r="V21" s="2">
        <f t="shared" si="9"/>
        <v>150000</v>
      </c>
    </row>
    <row r="22" spans="1:22" x14ac:dyDescent="0.65">
      <c r="A22" s="3">
        <f t="shared" si="0"/>
        <v>22</v>
      </c>
      <c r="B22" s="1">
        <v>16</v>
      </c>
      <c r="C22" s="1">
        <f t="shared" si="11"/>
        <v>1.1399999999999999</v>
      </c>
      <c r="D22" s="12">
        <f t="shared" si="2"/>
        <v>2600000</v>
      </c>
      <c r="E22" s="12"/>
      <c r="F22" s="12">
        <f t="shared" si="3"/>
        <v>839408.70695256651</v>
      </c>
      <c r="G22" s="12"/>
      <c r="H22" s="12">
        <f t="shared" si="10"/>
        <v>88945392.052380651</v>
      </c>
      <c r="I22" s="12"/>
      <c r="J22" s="11">
        <f t="shared" si="1"/>
        <v>88945392.052380651</v>
      </c>
      <c r="K22" s="11"/>
      <c r="M22" s="13">
        <f t="shared" si="5"/>
        <v>5.9893181809905771E-2</v>
      </c>
      <c r="N22" s="13"/>
      <c r="O22" s="11"/>
      <c r="P22" s="11"/>
      <c r="R22" s="2">
        <f t="shared" si="6"/>
        <v>8708709</v>
      </c>
      <c r="S22" s="2">
        <f t="shared" si="7"/>
        <v>2.9000000000000001E-2</v>
      </c>
      <c r="U22" s="2">
        <f t="shared" si="8"/>
        <v>700000</v>
      </c>
      <c r="V22" s="2">
        <f t="shared" si="9"/>
        <v>150000</v>
      </c>
    </row>
    <row r="23" spans="1:22" x14ac:dyDescent="0.65">
      <c r="A23" s="3">
        <f t="shared" si="0"/>
        <v>23</v>
      </c>
      <c r="B23" s="1">
        <v>17</v>
      </c>
      <c r="C23" s="1">
        <f t="shared" si="11"/>
        <v>1.1299999999999999</v>
      </c>
      <c r="D23" s="12">
        <f t="shared" si="2"/>
        <v>2600000</v>
      </c>
      <c r="E23" s="12"/>
      <c r="F23" s="12">
        <f t="shared" si="3"/>
        <v>854359.22648312035</v>
      </c>
      <c r="G23" s="12"/>
      <c r="H23" s="12">
        <f t="shared" si="10"/>
        <v>94369720.528877303</v>
      </c>
      <c r="I23" s="12"/>
      <c r="J23" s="11">
        <f t="shared" si="1"/>
        <v>94369720.528877303</v>
      </c>
      <c r="K23" s="11"/>
      <c r="M23" s="13">
        <f t="shared" si="5"/>
        <v>6.0984929644272379E-2</v>
      </c>
      <c r="N23" s="13"/>
      <c r="O23" s="11"/>
      <c r="P23" s="11"/>
      <c r="R23" s="2">
        <f t="shared" si="6"/>
        <v>8708709</v>
      </c>
      <c r="S23" s="2">
        <f t="shared" si="7"/>
        <v>2.9000000000000001E-2</v>
      </c>
      <c r="U23" s="2">
        <f t="shared" si="8"/>
        <v>700000</v>
      </c>
      <c r="V23" s="2">
        <f t="shared" si="9"/>
        <v>150000</v>
      </c>
    </row>
    <row r="24" spans="1:22" x14ac:dyDescent="0.65">
      <c r="A24" s="3">
        <f t="shared" si="0"/>
        <v>24</v>
      </c>
      <c r="B24" s="1">
        <v>18</v>
      </c>
      <c r="C24" s="1">
        <f t="shared" si="11"/>
        <v>1.1199999999999999</v>
      </c>
      <c r="D24" s="12">
        <f t="shared" si="2"/>
        <v>2600000</v>
      </c>
      <c r="E24" s="12"/>
      <c r="F24" s="12">
        <f t="shared" si="3"/>
        <v>869576.71957671968</v>
      </c>
      <c r="G24" s="12"/>
      <c r="H24" s="12">
        <f t="shared" si="4"/>
        <v>100230749.3382218</v>
      </c>
      <c r="I24" s="12"/>
      <c r="J24" s="11">
        <f t="shared" si="1"/>
        <v>100230749.3382218</v>
      </c>
      <c r="K24" s="11"/>
      <c r="M24" s="13">
        <f t="shared" si="5"/>
        <v>6.2107090881455163E-2</v>
      </c>
      <c r="N24" s="13"/>
      <c r="O24" s="11"/>
      <c r="P24" s="11"/>
      <c r="R24" s="2">
        <f t="shared" si="6"/>
        <v>8708709</v>
      </c>
      <c r="S24" s="2">
        <f t="shared" si="7"/>
        <v>2.9000000000000001E-2</v>
      </c>
      <c r="U24" s="2">
        <f t="shared" si="8"/>
        <v>700000</v>
      </c>
      <c r="V24" s="2">
        <f t="shared" si="9"/>
        <v>150000</v>
      </c>
    </row>
    <row r="25" spans="1:22" x14ac:dyDescent="0.65">
      <c r="A25" s="3">
        <f t="shared" si="0"/>
        <v>25</v>
      </c>
      <c r="B25" s="1">
        <v>19</v>
      </c>
      <c r="C25" s="1">
        <f t="shared" si="11"/>
        <v>1.1099999999999999</v>
      </c>
      <c r="D25" s="12">
        <f t="shared" si="2"/>
        <v>2600000</v>
      </c>
      <c r="E25" s="12"/>
      <c r="F25" s="12">
        <f t="shared" si="3"/>
        <v>885068.40173506853</v>
      </c>
      <c r="G25" s="12"/>
      <c r="H25" s="12">
        <f t="shared" si="4"/>
        <v>106571428.35241005</v>
      </c>
      <c r="I25" s="12"/>
      <c r="J25" s="11">
        <f t="shared" si="1"/>
        <v>106571428.35241005</v>
      </c>
      <c r="K25" s="11"/>
      <c r="M25" s="13">
        <f t="shared" si="5"/>
        <v>6.3260816227084682E-2</v>
      </c>
      <c r="N25" s="13"/>
      <c r="O25" s="11"/>
      <c r="P25" s="11"/>
      <c r="R25" s="2">
        <f t="shared" si="6"/>
        <v>8708709</v>
      </c>
      <c r="S25" s="2">
        <f t="shared" si="7"/>
        <v>2.9000000000000001E-2</v>
      </c>
      <c r="U25" s="2">
        <f t="shared" si="8"/>
        <v>700000</v>
      </c>
      <c r="V25" s="2">
        <f t="shared" si="9"/>
        <v>150000</v>
      </c>
    </row>
    <row r="26" spans="1:22" x14ac:dyDescent="0.65">
      <c r="A26" s="3">
        <f t="shared" si="0"/>
        <v>26</v>
      </c>
      <c r="B26" s="1">
        <v>20</v>
      </c>
      <c r="C26" s="1">
        <f t="shared" si="11"/>
        <v>1.0999999999999999</v>
      </c>
      <c r="D26" s="12">
        <f t="shared" si="2"/>
        <v>2600000</v>
      </c>
      <c r="E26" s="12"/>
      <c r="F26" s="12">
        <f t="shared" si="3"/>
        <v>900841.75084175076</v>
      </c>
      <c r="G26" s="12"/>
      <c r="H26" s="12">
        <f t="shared" si="4"/>
        <v>113439670.42485991</v>
      </c>
      <c r="I26" s="12"/>
      <c r="J26" s="11">
        <f t="shared" si="1"/>
        <v>113439670.42485991</v>
      </c>
      <c r="K26" s="11"/>
      <c r="M26" s="13">
        <f t="shared" si="5"/>
        <v>6.4447311804229468E-2</v>
      </c>
      <c r="N26" s="13"/>
      <c r="O26" s="11"/>
      <c r="P26" s="11"/>
      <c r="R26" s="2">
        <f t="shared" si="6"/>
        <v>8708709</v>
      </c>
      <c r="S26" s="2">
        <f t="shared" si="7"/>
        <v>2.9000000000000001E-2</v>
      </c>
      <c r="U26" s="2">
        <f t="shared" si="8"/>
        <v>700000</v>
      </c>
      <c r="V26" s="2">
        <f t="shared" si="9"/>
        <v>150000</v>
      </c>
    </row>
    <row r="27" spans="1:22" x14ac:dyDescent="0.65">
      <c r="A27" s="3">
        <f t="shared" si="0"/>
        <v>27</v>
      </c>
      <c r="R27" s="2">
        <f t="shared" si="6"/>
        <v>8708709</v>
      </c>
      <c r="S27" s="2">
        <f t="shared" si="7"/>
        <v>2.9000000000000001E-2</v>
      </c>
      <c r="U27" s="2">
        <f t="shared" si="8"/>
        <v>700000</v>
      </c>
      <c r="V27" s="2">
        <f t="shared" si="9"/>
        <v>150000</v>
      </c>
    </row>
    <row r="28" spans="1:22" x14ac:dyDescent="0.65">
      <c r="A28" s="3">
        <f t="shared" si="0"/>
        <v>28</v>
      </c>
      <c r="R28" s="2">
        <f t="shared" si="6"/>
        <v>8708709</v>
      </c>
      <c r="S28" s="2">
        <f t="shared" si="7"/>
        <v>2.9000000000000001E-2</v>
      </c>
      <c r="U28" s="2">
        <f t="shared" si="8"/>
        <v>700000</v>
      </c>
      <c r="V28" s="2">
        <f t="shared" si="9"/>
        <v>150000</v>
      </c>
    </row>
    <row r="29" spans="1:22" ht="23.65" thickBot="1" x14ac:dyDescent="0.7">
      <c r="A29" s="3">
        <f t="shared" si="0"/>
        <v>29</v>
      </c>
      <c r="B29" s="1" t="s">
        <v>4</v>
      </c>
      <c r="C29" s="1" t="s">
        <v>5</v>
      </c>
      <c r="D29" s="12" t="s">
        <v>6</v>
      </c>
      <c r="E29" s="12"/>
      <c r="F29" s="12" t="s">
        <v>7</v>
      </c>
      <c r="G29" s="12"/>
      <c r="H29" s="10" t="s">
        <v>8</v>
      </c>
      <c r="I29" s="11"/>
      <c r="J29" s="10" t="s">
        <v>9</v>
      </c>
      <c r="K29" s="11"/>
      <c r="L29" s="4" t="s">
        <v>10</v>
      </c>
      <c r="R29" s="2">
        <f t="shared" si="6"/>
        <v>8708709</v>
      </c>
      <c r="S29" s="2">
        <f t="shared" si="7"/>
        <v>2.9000000000000001E-2</v>
      </c>
      <c r="U29" s="2">
        <f t="shared" si="8"/>
        <v>700000</v>
      </c>
      <c r="V29" s="2">
        <f t="shared" si="9"/>
        <v>150000</v>
      </c>
    </row>
    <row r="30" spans="1:22" ht="23.25" thickBot="1" x14ac:dyDescent="0.7">
      <c r="A30" s="3">
        <f t="shared" si="0"/>
        <v>30</v>
      </c>
      <c r="B30" s="1">
        <v>1</v>
      </c>
      <c r="C30" s="1">
        <v>1.3</v>
      </c>
      <c r="D30" s="14">
        <f>50000*(A30-7)/23+2950000</f>
        <v>3000000</v>
      </c>
      <c r="E30" s="15"/>
      <c r="F30" s="12">
        <f>D30/C30/1.35-U30-V30</f>
        <v>859401.70940170926</v>
      </c>
      <c r="G30" s="12"/>
      <c r="H30" s="12">
        <f>(R30*EXP(F30/(R30*S30)-1)-L30)</f>
        <v>96272849.055957153</v>
      </c>
      <c r="I30" s="12"/>
      <c r="J30" s="11">
        <f t="shared" ref="J30:J49" si="12">IF(H30&gt;=1000000000,(1-(LN(2-H30/10^9))/0.7)*10^9,H30)</f>
        <v>96272849.055957153</v>
      </c>
      <c r="K30" s="11"/>
      <c r="M30" s="12" t="s">
        <v>11</v>
      </c>
      <c r="N30" s="12"/>
      <c r="R30" s="2">
        <f t="shared" si="6"/>
        <v>8708709</v>
      </c>
      <c r="S30" s="2">
        <f t="shared" si="7"/>
        <v>2.9000000000000001E-2</v>
      </c>
      <c r="U30" s="2">
        <f t="shared" si="8"/>
        <v>700000</v>
      </c>
      <c r="V30" s="2">
        <f t="shared" si="9"/>
        <v>150000</v>
      </c>
    </row>
    <row r="31" spans="1:22" x14ac:dyDescent="0.65">
      <c r="A31" s="3">
        <f t="shared" si="0"/>
        <v>31</v>
      </c>
      <c r="B31" s="1">
        <v>2</v>
      </c>
      <c r="C31" s="1">
        <f>C30-0.01</f>
        <v>1.29</v>
      </c>
      <c r="D31" s="12">
        <f t="shared" ref="D31:D49" si="13">D30</f>
        <v>3000000</v>
      </c>
      <c r="E31" s="12"/>
      <c r="F31" s="12">
        <f t="shared" ref="F31:F49" si="14">D31/C31/1.35-U31-V31</f>
        <v>872652.8854435829</v>
      </c>
      <c r="G31" s="12"/>
      <c r="H31" s="12">
        <f t="shared" ref="H31:H49" si="15">(R31*EXP(F31/(R31*S31)-1)-L31)</f>
        <v>101459055.27923541</v>
      </c>
      <c r="I31" s="12"/>
      <c r="J31" s="11">
        <f t="shared" si="12"/>
        <v>101459055.27923541</v>
      </c>
      <c r="K31" s="11"/>
      <c r="M31" s="13">
        <f t="shared" ref="M31:M49" si="16">J31/J30-1</f>
        <v>5.3869873740454599E-2</v>
      </c>
      <c r="N31" s="13"/>
      <c r="R31" s="2">
        <f t="shared" si="6"/>
        <v>8708709</v>
      </c>
      <c r="S31" s="2">
        <f t="shared" si="7"/>
        <v>2.9000000000000001E-2</v>
      </c>
      <c r="U31" s="2">
        <f t="shared" si="8"/>
        <v>700000</v>
      </c>
      <c r="V31" s="2">
        <f t="shared" si="9"/>
        <v>150000</v>
      </c>
    </row>
    <row r="32" spans="1:22" x14ac:dyDescent="0.65">
      <c r="A32" s="3">
        <f t="shared" si="0"/>
        <v>32</v>
      </c>
      <c r="B32" s="1">
        <v>3</v>
      </c>
      <c r="C32" s="1">
        <f>C31-0.01</f>
        <v>1.28</v>
      </c>
      <c r="D32" s="12">
        <f t="shared" si="13"/>
        <v>3000000</v>
      </c>
      <c r="E32" s="12"/>
      <c r="F32" s="12">
        <f t="shared" si="14"/>
        <v>886111.11111111101</v>
      </c>
      <c r="G32" s="12"/>
      <c r="H32" s="12">
        <f t="shared" si="15"/>
        <v>107012337.52001141</v>
      </c>
      <c r="I32" s="12"/>
      <c r="J32" s="11">
        <f t="shared" si="12"/>
        <v>107012337.52001141</v>
      </c>
      <c r="K32" s="11"/>
      <c r="M32" s="13">
        <f t="shared" si="16"/>
        <v>5.473421988300875E-2</v>
      </c>
      <c r="N32" s="13"/>
      <c r="R32" s="2">
        <f t="shared" si="6"/>
        <v>8708709</v>
      </c>
      <c r="S32" s="2">
        <f t="shared" si="7"/>
        <v>2.9000000000000001E-2</v>
      </c>
      <c r="U32" s="2">
        <f t="shared" si="8"/>
        <v>700000</v>
      </c>
      <c r="V32" s="2">
        <f t="shared" si="9"/>
        <v>150000</v>
      </c>
    </row>
    <row r="33" spans="1:22" x14ac:dyDescent="0.65">
      <c r="A33" s="3">
        <f t="shared" si="0"/>
        <v>33</v>
      </c>
      <c r="B33" s="1">
        <v>4</v>
      </c>
      <c r="C33" s="1">
        <f>C32-0.01</f>
        <v>1.27</v>
      </c>
      <c r="D33" s="12">
        <f t="shared" si="13"/>
        <v>3000000</v>
      </c>
      <c r="E33" s="12"/>
      <c r="F33" s="12">
        <f t="shared" si="14"/>
        <v>899781.27734033251</v>
      </c>
      <c r="G33" s="12"/>
      <c r="H33" s="12">
        <f t="shared" si="15"/>
        <v>112964333.54231882</v>
      </c>
      <c r="I33" s="12"/>
      <c r="J33" s="11">
        <f t="shared" si="12"/>
        <v>112964333.54231882</v>
      </c>
      <c r="K33" s="11"/>
      <c r="M33" s="13">
        <f t="shared" si="16"/>
        <v>5.5619717877804398E-2</v>
      </c>
      <c r="N33" s="13"/>
      <c r="R33" s="2">
        <f t="shared" si="6"/>
        <v>8708709</v>
      </c>
      <c r="S33" s="2">
        <f t="shared" si="7"/>
        <v>2.9000000000000001E-2</v>
      </c>
      <c r="U33" s="2">
        <f t="shared" si="8"/>
        <v>700000</v>
      </c>
      <c r="V33" s="2">
        <f t="shared" si="9"/>
        <v>150000</v>
      </c>
    </row>
    <row r="34" spans="1:22" x14ac:dyDescent="0.65">
      <c r="A34" s="3">
        <f t="shared" si="0"/>
        <v>34</v>
      </c>
      <c r="B34" s="1">
        <v>5</v>
      </c>
      <c r="C34" s="1">
        <f>C33-0.01</f>
        <v>1.26</v>
      </c>
      <c r="D34" s="12">
        <f t="shared" si="13"/>
        <v>3000000</v>
      </c>
      <c r="E34" s="12"/>
      <c r="F34" s="12">
        <f t="shared" si="14"/>
        <v>913668.43033509701</v>
      </c>
      <c r="G34" s="12"/>
      <c r="H34" s="12">
        <f t="shared" si="15"/>
        <v>119349876.25752604</v>
      </c>
      <c r="I34" s="12"/>
      <c r="J34" s="11">
        <f t="shared" si="12"/>
        <v>119349876.25752604</v>
      </c>
      <c r="K34" s="11"/>
      <c r="M34" s="13">
        <f t="shared" si="16"/>
        <v>5.6527069341006264E-2</v>
      </c>
      <c r="N34" s="13"/>
      <c r="R34" s="2">
        <f t="shared" si="6"/>
        <v>8708709</v>
      </c>
      <c r="S34" s="2">
        <f t="shared" si="7"/>
        <v>2.9000000000000001E-2</v>
      </c>
      <c r="U34" s="2">
        <f t="shared" si="8"/>
        <v>700000</v>
      </c>
      <c r="V34" s="2">
        <f t="shared" si="9"/>
        <v>150000</v>
      </c>
    </row>
    <row r="35" spans="1:22" x14ac:dyDescent="0.65">
      <c r="A35" s="3">
        <f t="shared" si="0"/>
        <v>35</v>
      </c>
      <c r="B35" s="1">
        <v>6</v>
      </c>
      <c r="C35" s="1">
        <v>1.24</v>
      </c>
      <c r="D35" s="12">
        <f t="shared" si="13"/>
        <v>3000000</v>
      </c>
      <c r="E35" s="12"/>
      <c r="F35" s="12">
        <f t="shared" si="14"/>
        <v>942114.69534050184</v>
      </c>
      <c r="G35" s="12"/>
      <c r="H35" s="12">
        <f t="shared" si="15"/>
        <v>133579171.21577062</v>
      </c>
      <c r="I35" s="12"/>
      <c r="J35" s="11">
        <f t="shared" si="12"/>
        <v>133579171.21577062</v>
      </c>
      <c r="K35" s="11"/>
      <c r="M35" s="13">
        <f t="shared" si="16"/>
        <v>0.1192233742039368</v>
      </c>
      <c r="N35" s="13"/>
      <c r="R35" s="2">
        <f t="shared" si="6"/>
        <v>8708709</v>
      </c>
      <c r="S35" s="2">
        <f t="shared" si="7"/>
        <v>2.9000000000000001E-2</v>
      </c>
      <c r="U35" s="2">
        <f t="shared" si="8"/>
        <v>700000</v>
      </c>
      <c r="V35" s="2">
        <f t="shared" si="9"/>
        <v>150000</v>
      </c>
    </row>
    <row r="36" spans="1:22" x14ac:dyDescent="0.65">
      <c r="A36" s="3">
        <f t="shared" si="0"/>
        <v>36</v>
      </c>
      <c r="B36" s="1">
        <v>7</v>
      </c>
      <c r="C36" s="1">
        <f>C35-0.01</f>
        <v>1.23</v>
      </c>
      <c r="D36" s="12">
        <f t="shared" si="13"/>
        <v>3000000</v>
      </c>
      <c r="E36" s="12"/>
      <c r="F36" s="12">
        <f t="shared" si="14"/>
        <v>956684.73351400159</v>
      </c>
      <c r="G36" s="12"/>
      <c r="H36" s="12">
        <f t="shared" si="15"/>
        <v>141512132.75156841</v>
      </c>
      <c r="I36" s="12"/>
      <c r="J36" s="11">
        <f t="shared" si="12"/>
        <v>141512132.75156841</v>
      </c>
      <c r="K36" s="11"/>
      <c r="M36" s="13">
        <f t="shared" si="16"/>
        <v>5.9387713395703479E-2</v>
      </c>
      <c r="N36" s="13"/>
      <c r="R36" s="2">
        <f t="shared" si="6"/>
        <v>8708709</v>
      </c>
      <c r="S36" s="2">
        <f t="shared" si="7"/>
        <v>2.9000000000000001E-2</v>
      </c>
      <c r="U36" s="2">
        <f t="shared" si="8"/>
        <v>700000</v>
      </c>
      <c r="V36" s="2">
        <f t="shared" si="9"/>
        <v>150000</v>
      </c>
    </row>
    <row r="37" spans="1:22" x14ac:dyDescent="0.65">
      <c r="A37" s="3">
        <f t="shared" si="0"/>
        <v>37</v>
      </c>
      <c r="B37" s="1">
        <v>8</v>
      </c>
      <c r="C37" s="1">
        <f>C36-0.01</f>
        <v>1.22</v>
      </c>
      <c r="D37" s="12">
        <f t="shared" si="13"/>
        <v>3000000</v>
      </c>
      <c r="E37" s="12"/>
      <c r="F37" s="12">
        <f t="shared" si="14"/>
        <v>971493.62477231305</v>
      </c>
      <c r="G37" s="12"/>
      <c r="H37" s="12">
        <f t="shared" si="15"/>
        <v>150058065.95181239</v>
      </c>
      <c r="I37" s="12"/>
      <c r="J37" s="11">
        <f t="shared" si="12"/>
        <v>150058065.95181239</v>
      </c>
      <c r="K37" s="11"/>
      <c r="M37" s="13">
        <f t="shared" si="16"/>
        <v>6.0390109555106486E-2</v>
      </c>
      <c r="N37" s="13"/>
      <c r="R37" s="2">
        <f t="shared" si="6"/>
        <v>8708709</v>
      </c>
      <c r="S37" s="2">
        <f t="shared" si="7"/>
        <v>2.9000000000000001E-2</v>
      </c>
      <c r="U37" s="2">
        <f t="shared" si="8"/>
        <v>700000</v>
      </c>
      <c r="V37" s="2">
        <f t="shared" si="9"/>
        <v>150000</v>
      </c>
    </row>
    <row r="38" spans="1:22" x14ac:dyDescent="0.65">
      <c r="A38" s="3">
        <f t="shared" si="0"/>
        <v>38</v>
      </c>
      <c r="B38" s="1">
        <v>9</v>
      </c>
      <c r="C38" s="1">
        <f t="shared" ref="C38:C49" si="17">C37-0.01</f>
        <v>1.21</v>
      </c>
      <c r="D38" s="12">
        <f t="shared" si="13"/>
        <v>3000000</v>
      </c>
      <c r="E38" s="12"/>
      <c r="F38" s="12">
        <f t="shared" si="14"/>
        <v>986547.29109274549</v>
      </c>
      <c r="G38" s="12"/>
      <c r="H38" s="12">
        <f t="shared" si="15"/>
        <v>159274383.64962995</v>
      </c>
      <c r="I38" s="12"/>
      <c r="J38" s="11">
        <f t="shared" si="12"/>
        <v>159274383.64962995</v>
      </c>
      <c r="K38" s="11"/>
      <c r="M38" s="13">
        <f t="shared" si="16"/>
        <v>6.1418342555322303E-2</v>
      </c>
      <c r="N38" s="13"/>
      <c r="R38" s="2">
        <f t="shared" si="6"/>
        <v>8708709</v>
      </c>
      <c r="S38" s="2">
        <f t="shared" si="7"/>
        <v>2.9000000000000001E-2</v>
      </c>
      <c r="U38" s="2">
        <f t="shared" si="8"/>
        <v>700000</v>
      </c>
      <c r="V38" s="2">
        <f t="shared" si="9"/>
        <v>150000</v>
      </c>
    </row>
    <row r="39" spans="1:22" x14ac:dyDescent="0.65">
      <c r="A39" s="3">
        <f t="shared" si="0"/>
        <v>39</v>
      </c>
      <c r="B39" s="1">
        <v>10</v>
      </c>
      <c r="C39" s="1">
        <f t="shared" si="17"/>
        <v>1.2</v>
      </c>
      <c r="D39" s="12">
        <f t="shared" si="13"/>
        <v>3000000</v>
      </c>
      <c r="E39" s="12"/>
      <c r="F39" s="12">
        <f t="shared" si="14"/>
        <v>1001851.8518518517</v>
      </c>
      <c r="G39" s="12"/>
      <c r="H39" s="12">
        <f t="shared" si="15"/>
        <v>169224782.57253206</v>
      </c>
      <c r="I39" s="12"/>
      <c r="J39" s="11">
        <f t="shared" si="12"/>
        <v>169224782.57253206</v>
      </c>
      <c r="K39" s="11"/>
      <c r="M39" s="13">
        <f t="shared" si="16"/>
        <v>6.2473316140974067E-2</v>
      </c>
      <c r="N39" s="13"/>
      <c r="R39" s="2">
        <f t="shared" si="6"/>
        <v>8708709</v>
      </c>
      <c r="S39" s="2">
        <f t="shared" si="7"/>
        <v>2.9000000000000001E-2</v>
      </c>
      <c r="U39" s="2">
        <f t="shared" si="8"/>
        <v>700000</v>
      </c>
      <c r="V39" s="2">
        <f t="shared" si="9"/>
        <v>150000</v>
      </c>
    </row>
    <row r="40" spans="1:22" x14ac:dyDescent="0.65">
      <c r="A40" s="3">
        <f t="shared" si="0"/>
        <v>40</v>
      </c>
      <c r="B40" s="1">
        <v>11</v>
      </c>
      <c r="C40" s="1">
        <f t="shared" si="17"/>
        <v>1.19</v>
      </c>
      <c r="D40" s="12">
        <f t="shared" si="13"/>
        <v>3000000</v>
      </c>
      <c r="E40" s="12"/>
      <c r="F40" s="12">
        <f t="shared" si="14"/>
        <v>1017413.6321195145</v>
      </c>
      <c r="G40" s="12"/>
      <c r="H40" s="12">
        <f t="shared" si="15"/>
        <v>179980028.49809656</v>
      </c>
      <c r="I40" s="12"/>
      <c r="J40" s="11">
        <f t="shared" si="12"/>
        <v>179980028.49809656</v>
      </c>
      <c r="K40" s="11"/>
      <c r="M40" s="13">
        <f t="shared" si="16"/>
        <v>6.3555974261362502E-2</v>
      </c>
      <c r="N40" s="13"/>
      <c r="R40" s="2">
        <f t="shared" si="6"/>
        <v>8708709</v>
      </c>
      <c r="S40" s="2">
        <f t="shared" si="7"/>
        <v>2.9000000000000001E-2</v>
      </c>
      <c r="U40" s="2">
        <f t="shared" si="8"/>
        <v>700000</v>
      </c>
      <c r="V40" s="2">
        <f t="shared" si="9"/>
        <v>150000</v>
      </c>
    </row>
    <row r="41" spans="1:22" x14ac:dyDescent="0.65">
      <c r="A41" s="3">
        <f t="shared" si="0"/>
        <v>41</v>
      </c>
      <c r="B41" s="1">
        <v>12</v>
      </c>
      <c r="C41" s="1">
        <f t="shared" si="17"/>
        <v>1.18</v>
      </c>
      <c r="D41" s="12">
        <f t="shared" si="13"/>
        <v>3000000</v>
      </c>
      <c r="E41" s="12"/>
      <c r="F41" s="12">
        <f t="shared" si="14"/>
        <v>1033239.1713747648</v>
      </c>
      <c r="G41" s="12"/>
      <c r="H41" s="12">
        <f t="shared" si="15"/>
        <v>191618851.58050668</v>
      </c>
      <c r="I41" s="12"/>
      <c r="J41" s="11">
        <f t="shared" si="12"/>
        <v>191618851.58050668</v>
      </c>
      <c r="K41" s="11"/>
      <c r="M41" s="13">
        <f t="shared" si="16"/>
        <v>6.4667303253223007E-2</v>
      </c>
      <c r="N41" s="13"/>
      <c r="R41" s="2">
        <f t="shared" si="6"/>
        <v>8708709</v>
      </c>
      <c r="S41" s="2">
        <f t="shared" si="7"/>
        <v>2.9000000000000001E-2</v>
      </c>
      <c r="U41" s="2">
        <f t="shared" si="8"/>
        <v>700000</v>
      </c>
      <c r="V41" s="2">
        <f t="shared" si="9"/>
        <v>150000</v>
      </c>
    </row>
    <row r="42" spans="1:22" x14ac:dyDescent="0.65">
      <c r="A42" s="3">
        <f t="shared" si="0"/>
        <v>42</v>
      </c>
      <c r="B42" s="1">
        <v>13</v>
      </c>
      <c r="C42" s="1">
        <f t="shared" si="17"/>
        <v>1.17</v>
      </c>
      <c r="D42" s="12">
        <f t="shared" si="13"/>
        <v>3000000</v>
      </c>
      <c r="E42" s="12"/>
      <c r="F42" s="12">
        <f t="shared" si="14"/>
        <v>1049335.2326685661</v>
      </c>
      <c r="G42" s="12"/>
      <c r="H42" s="12">
        <f t="shared" si="15"/>
        <v>204228968.99744534</v>
      </c>
      <c r="I42" s="12"/>
      <c r="J42" s="11">
        <f t="shared" si="12"/>
        <v>204228968.99744534</v>
      </c>
      <c r="K42" s="11"/>
      <c r="M42" s="13">
        <f t="shared" si="16"/>
        <v>6.5808334164035198E-2</v>
      </c>
      <c r="N42" s="13"/>
      <c r="R42" s="2">
        <f t="shared" si="6"/>
        <v>8708709</v>
      </c>
      <c r="S42" s="2">
        <f t="shared" si="7"/>
        <v>2.9000000000000001E-2</v>
      </c>
      <c r="U42" s="2">
        <f t="shared" si="8"/>
        <v>700000</v>
      </c>
      <c r="V42" s="2">
        <f t="shared" si="9"/>
        <v>150000</v>
      </c>
    </row>
    <row r="43" spans="1:22" x14ac:dyDescent="0.65">
      <c r="A43" s="3">
        <f t="shared" si="0"/>
        <v>43</v>
      </c>
      <c r="B43" s="1">
        <v>14</v>
      </c>
      <c r="C43" s="1">
        <f t="shared" si="17"/>
        <v>1.1599999999999999</v>
      </c>
      <c r="D43" s="12">
        <f t="shared" si="13"/>
        <v>3000000</v>
      </c>
      <c r="E43" s="12"/>
      <c r="F43" s="12">
        <f t="shared" si="14"/>
        <v>1065708.8122605365</v>
      </c>
      <c r="G43" s="12"/>
      <c r="H43" s="12">
        <f t="shared" si="15"/>
        <v>217908255.0003241</v>
      </c>
      <c r="I43" s="12"/>
      <c r="J43" s="11">
        <f t="shared" si="12"/>
        <v>217908255.0003241</v>
      </c>
      <c r="K43" s="11"/>
      <c r="M43" s="13">
        <f t="shared" si="16"/>
        <v>6.6980145226360532E-2</v>
      </c>
      <c r="N43" s="13"/>
      <c r="R43" s="2">
        <f t="shared" si="6"/>
        <v>8708709</v>
      </c>
      <c r="S43" s="2">
        <f t="shared" si="7"/>
        <v>2.9000000000000001E-2</v>
      </c>
      <c r="U43" s="2">
        <f t="shared" si="8"/>
        <v>700000</v>
      </c>
      <c r="V43" s="2">
        <f t="shared" si="9"/>
        <v>150000</v>
      </c>
    </row>
    <row r="44" spans="1:22" x14ac:dyDescent="0.65">
      <c r="A44" s="3">
        <f t="shared" si="0"/>
        <v>44</v>
      </c>
      <c r="B44" s="1">
        <v>15</v>
      </c>
      <c r="C44" s="1">
        <f t="shared" si="17"/>
        <v>1.1499999999999999</v>
      </c>
      <c r="D44" s="12">
        <f t="shared" si="13"/>
        <v>3000000</v>
      </c>
      <c r="E44" s="12"/>
      <c r="F44" s="12">
        <f t="shared" si="14"/>
        <v>1082367.1497584539</v>
      </c>
      <c r="G44" s="12"/>
      <c r="H44" s="12">
        <f t="shared" si="15"/>
        <v>232766081.93152574</v>
      </c>
      <c r="I44" s="12"/>
      <c r="J44" s="11">
        <f t="shared" si="12"/>
        <v>232766081.93152574</v>
      </c>
      <c r="K44" s="11"/>
      <c r="M44" s="13">
        <f t="shared" si="16"/>
        <v>6.8183864494621993E-2</v>
      </c>
      <c r="N44" s="13"/>
      <c r="R44" s="2">
        <f t="shared" si="6"/>
        <v>8708709</v>
      </c>
      <c r="S44" s="2">
        <f t="shared" si="7"/>
        <v>2.9000000000000001E-2</v>
      </c>
      <c r="U44" s="2">
        <f t="shared" si="8"/>
        <v>700000</v>
      </c>
      <c r="V44" s="2">
        <f t="shared" si="9"/>
        <v>150000</v>
      </c>
    </row>
    <row r="45" spans="1:22" x14ac:dyDescent="0.65">
      <c r="A45" s="3">
        <f t="shared" si="0"/>
        <v>45</v>
      </c>
      <c r="B45" s="1">
        <v>16</v>
      </c>
      <c r="C45" s="1">
        <f t="shared" si="17"/>
        <v>1.1399999999999999</v>
      </c>
      <c r="D45" s="12">
        <f t="shared" si="13"/>
        <v>3000000</v>
      </c>
      <c r="E45" s="12"/>
      <c r="F45" s="12">
        <f t="shared" si="14"/>
        <v>1099317.7387914229</v>
      </c>
      <c r="G45" s="12"/>
      <c r="H45" s="12">
        <f t="shared" si="15"/>
        <v>248924859.91087949</v>
      </c>
      <c r="I45" s="12"/>
      <c r="J45" s="11">
        <f t="shared" si="12"/>
        <v>248924859.91087949</v>
      </c>
      <c r="K45" s="11"/>
      <c r="M45" s="13">
        <f t="shared" si="16"/>
        <v>6.942067265671148E-2</v>
      </c>
      <c r="N45" s="13"/>
      <c r="R45" s="2">
        <f t="shared" si="6"/>
        <v>8708709</v>
      </c>
      <c r="S45" s="2">
        <f t="shared" si="7"/>
        <v>2.9000000000000001E-2</v>
      </c>
      <c r="U45" s="2">
        <f t="shared" si="8"/>
        <v>700000</v>
      </c>
      <c r="V45" s="2">
        <f t="shared" si="9"/>
        <v>150000</v>
      </c>
    </row>
    <row r="46" spans="1:22" x14ac:dyDescent="0.65">
      <c r="A46" s="3">
        <f t="shared" si="0"/>
        <v>46</v>
      </c>
      <c r="B46" s="1">
        <v>17</v>
      </c>
      <c r="C46" s="1">
        <f t="shared" si="17"/>
        <v>1.1299999999999999</v>
      </c>
      <c r="D46" s="12">
        <f t="shared" si="13"/>
        <v>3000000</v>
      </c>
      <c r="E46" s="12"/>
      <c r="F46" s="12">
        <f t="shared" si="14"/>
        <v>1116568.3382497544</v>
      </c>
      <c r="G46" s="12"/>
      <c r="H46" s="12">
        <f t="shared" si="15"/>
        <v>266521807.82471031</v>
      </c>
      <c r="I46" s="12"/>
      <c r="J46" s="11">
        <f t="shared" si="12"/>
        <v>266521807.82471031</v>
      </c>
      <c r="K46" s="11"/>
      <c r="M46" s="13">
        <f t="shared" si="16"/>
        <v>7.0691806033880589E-2</v>
      </c>
      <c r="N46" s="13"/>
      <c r="R46" s="2">
        <f t="shared" si="6"/>
        <v>8708709</v>
      </c>
      <c r="S46" s="2">
        <f t="shared" si="7"/>
        <v>2.9000000000000001E-2</v>
      </c>
      <c r="U46" s="2">
        <f t="shared" si="8"/>
        <v>700000</v>
      </c>
      <c r="V46" s="2">
        <f t="shared" si="9"/>
        <v>150000</v>
      </c>
    </row>
    <row r="47" spans="1:22" x14ac:dyDescent="0.65">
      <c r="A47" s="3">
        <f t="shared" si="0"/>
        <v>47</v>
      </c>
      <c r="B47" s="1">
        <v>18</v>
      </c>
      <c r="C47" s="1">
        <f t="shared" si="17"/>
        <v>1.1199999999999999</v>
      </c>
      <c r="D47" s="12">
        <f t="shared" si="13"/>
        <v>3000000</v>
      </c>
      <c r="E47" s="12"/>
      <c r="F47" s="12">
        <f t="shared" si="14"/>
        <v>1134126.9841269841</v>
      </c>
      <c r="G47" s="12"/>
      <c r="H47" s="12">
        <f t="shared" si="15"/>
        <v>285710994.13900518</v>
      </c>
      <c r="I47" s="12"/>
      <c r="J47" s="11">
        <f t="shared" si="12"/>
        <v>285710994.13900518</v>
      </c>
      <c r="K47" s="11"/>
      <c r="M47" s="13">
        <f t="shared" si="16"/>
        <v>7.1998559783578608E-2</v>
      </c>
      <c r="N47" s="13"/>
      <c r="R47" s="2">
        <f t="shared" si="6"/>
        <v>8708709</v>
      </c>
      <c r="S47" s="2">
        <f t="shared" si="7"/>
        <v>2.9000000000000001E-2</v>
      </c>
      <c r="U47" s="2">
        <f t="shared" si="8"/>
        <v>700000</v>
      </c>
      <c r="V47" s="2">
        <f t="shared" si="9"/>
        <v>150000</v>
      </c>
    </row>
    <row r="48" spans="1:22" x14ac:dyDescent="0.65">
      <c r="A48" s="3">
        <f t="shared" si="0"/>
        <v>48</v>
      </c>
      <c r="B48" s="1">
        <v>19</v>
      </c>
      <c r="C48" s="1">
        <f t="shared" si="17"/>
        <v>1.1099999999999999</v>
      </c>
      <c r="D48" s="12">
        <f t="shared" si="13"/>
        <v>3000000</v>
      </c>
      <c r="E48" s="12"/>
      <c r="F48" s="12">
        <f t="shared" si="14"/>
        <v>1152002.002002002</v>
      </c>
      <c r="G48" s="12"/>
      <c r="H48" s="12">
        <f t="shared" si="15"/>
        <v>306665693.10481656</v>
      </c>
      <c r="I48" s="12"/>
      <c r="J48" s="11">
        <f t="shared" si="12"/>
        <v>306665693.10481656</v>
      </c>
      <c r="K48" s="11"/>
      <c r="M48" s="13">
        <f t="shared" si="16"/>
        <v>7.3342291321195852E-2</v>
      </c>
      <c r="N48" s="13"/>
      <c r="R48" s="2">
        <f t="shared" si="6"/>
        <v>8708709</v>
      </c>
      <c r="S48" s="2">
        <f t="shared" si="7"/>
        <v>2.9000000000000001E-2</v>
      </c>
      <c r="U48" s="2">
        <f t="shared" si="8"/>
        <v>700000</v>
      </c>
      <c r="V48" s="2">
        <f t="shared" si="9"/>
        <v>150000</v>
      </c>
    </row>
    <row r="49" spans="1:22" x14ac:dyDescent="0.65">
      <c r="A49" s="3">
        <f t="shared" si="0"/>
        <v>49</v>
      </c>
      <c r="B49" s="1">
        <v>20</v>
      </c>
      <c r="C49" s="1">
        <f t="shared" si="17"/>
        <v>1.0999999999999999</v>
      </c>
      <c r="D49" s="12">
        <f t="shared" si="13"/>
        <v>3000000</v>
      </c>
      <c r="E49" s="12"/>
      <c r="F49" s="12">
        <f t="shared" si="14"/>
        <v>1170202.0202020202</v>
      </c>
      <c r="G49" s="12"/>
      <c r="H49" s="12">
        <f t="shared" si="15"/>
        <v>329581110.3758989</v>
      </c>
      <c r="I49" s="12"/>
      <c r="J49" s="11">
        <f t="shared" si="12"/>
        <v>329581110.3758989</v>
      </c>
      <c r="K49" s="11"/>
      <c r="M49" s="13">
        <f t="shared" si="16"/>
        <v>7.4724423978035137E-2</v>
      </c>
      <c r="N49" s="13"/>
      <c r="R49" s="2">
        <f t="shared" si="6"/>
        <v>8708709</v>
      </c>
      <c r="S49" s="2">
        <f t="shared" si="7"/>
        <v>2.9000000000000001E-2</v>
      </c>
      <c r="U49" s="2">
        <f t="shared" si="8"/>
        <v>700000</v>
      </c>
      <c r="V49" s="2">
        <f t="shared" si="9"/>
        <v>150000</v>
      </c>
    </row>
    <row r="50" spans="1:22" x14ac:dyDescent="0.65">
      <c r="A50" s="3">
        <f t="shared" si="0"/>
        <v>50</v>
      </c>
      <c r="R50" s="2">
        <f t="shared" si="6"/>
        <v>8708709</v>
      </c>
      <c r="S50" s="2">
        <f t="shared" si="7"/>
        <v>2.9000000000000001E-2</v>
      </c>
      <c r="U50" s="2">
        <f t="shared" si="8"/>
        <v>700000</v>
      </c>
      <c r="V50" s="2">
        <f t="shared" si="9"/>
        <v>150000</v>
      </c>
    </row>
    <row r="51" spans="1:22" x14ac:dyDescent="0.65">
      <c r="A51" s="3">
        <f t="shared" si="0"/>
        <v>51</v>
      </c>
      <c r="R51" s="2">
        <f t="shared" si="6"/>
        <v>8708709</v>
      </c>
      <c r="S51" s="2">
        <f t="shared" si="7"/>
        <v>2.9000000000000001E-2</v>
      </c>
      <c r="U51" s="2">
        <f t="shared" si="8"/>
        <v>700000</v>
      </c>
      <c r="V51" s="2">
        <f t="shared" si="9"/>
        <v>150000</v>
      </c>
    </row>
    <row r="52" spans="1:22" ht="23.65" thickBot="1" x14ac:dyDescent="0.7">
      <c r="A52" s="3">
        <f t="shared" si="0"/>
        <v>52</v>
      </c>
      <c r="B52" s="1" t="s">
        <v>4</v>
      </c>
      <c r="C52" s="1" t="s">
        <v>5</v>
      </c>
      <c r="D52" s="12" t="s">
        <v>6</v>
      </c>
      <c r="E52" s="12"/>
      <c r="F52" s="12" t="s">
        <v>7</v>
      </c>
      <c r="G52" s="12"/>
      <c r="H52" s="10" t="s">
        <v>8</v>
      </c>
      <c r="I52" s="10"/>
      <c r="J52" s="10" t="s">
        <v>9</v>
      </c>
      <c r="K52" s="10"/>
      <c r="L52" s="4" t="s">
        <v>10</v>
      </c>
      <c r="R52" s="2">
        <f t="shared" si="6"/>
        <v>8708709</v>
      </c>
      <c r="S52" s="2">
        <f t="shared" si="7"/>
        <v>2.9000000000000001E-2</v>
      </c>
      <c r="U52" s="2">
        <f t="shared" si="8"/>
        <v>700000</v>
      </c>
      <c r="V52" s="2">
        <f t="shared" si="9"/>
        <v>150000</v>
      </c>
    </row>
    <row r="53" spans="1:22" ht="23.25" thickBot="1" x14ac:dyDescent="0.7">
      <c r="A53" s="3">
        <f t="shared" si="0"/>
        <v>53</v>
      </c>
      <c r="B53" s="1">
        <v>1</v>
      </c>
      <c r="C53" s="1">
        <v>1.3</v>
      </c>
      <c r="D53" s="14">
        <f>50000*(A53-7)/23+3500000</f>
        <v>3600000</v>
      </c>
      <c r="E53" s="15"/>
      <c r="F53" s="12">
        <f>D53/C53/1.35-U53-V53</f>
        <v>1201282.051282051</v>
      </c>
      <c r="G53" s="12"/>
      <c r="H53" s="12">
        <f>(R53*EXP(F53/(R53*S53)-1)-L53)</f>
        <v>372741854.30164206</v>
      </c>
      <c r="I53" s="12"/>
      <c r="J53" s="11">
        <f t="shared" ref="J53:J72" si="18">IF(H53&gt;=1000000000,(1-(LN(2-H53/10^9))/0.7)*10^9,H53)</f>
        <v>372741854.30164206</v>
      </c>
      <c r="K53" s="11"/>
      <c r="M53" s="12" t="s">
        <v>11</v>
      </c>
      <c r="N53" s="12"/>
      <c r="R53" s="2">
        <f t="shared" si="6"/>
        <v>8708709</v>
      </c>
      <c r="S53" s="2">
        <f t="shared" si="7"/>
        <v>2.9000000000000001E-2</v>
      </c>
      <c r="U53" s="2">
        <f t="shared" si="8"/>
        <v>700000</v>
      </c>
      <c r="V53" s="2">
        <f t="shared" si="9"/>
        <v>150000</v>
      </c>
    </row>
    <row r="54" spans="1:22" x14ac:dyDescent="0.65">
      <c r="A54" s="3">
        <f t="shared" si="0"/>
        <v>54</v>
      </c>
      <c r="B54" s="1">
        <v>2</v>
      </c>
      <c r="C54" s="1">
        <f>C53-0.01</f>
        <v>1.29</v>
      </c>
      <c r="D54" s="12">
        <f t="shared" ref="D54:D72" si="19">D53</f>
        <v>3600000</v>
      </c>
      <c r="E54" s="12"/>
      <c r="F54" s="12">
        <f t="shared" ref="F54:F72" si="20">D54/C54/1.35-U54-V54</f>
        <v>1217183.4625322996</v>
      </c>
      <c r="G54" s="12"/>
      <c r="H54" s="12">
        <f t="shared" ref="H54:H72" si="21">(R54*EXP(F54/(R54*S54)-1)-L54)</f>
        <v>396965303.47667265</v>
      </c>
      <c r="I54" s="12"/>
      <c r="J54" s="11">
        <f t="shared" si="18"/>
        <v>396965303.47667265</v>
      </c>
      <c r="K54" s="11"/>
      <c r="M54" s="13">
        <f t="shared" ref="M54:M72" si="22">J54/J53-1</f>
        <v>6.4987199305575505E-2</v>
      </c>
      <c r="N54" s="13"/>
      <c r="R54" s="2">
        <f t="shared" si="6"/>
        <v>8708709</v>
      </c>
      <c r="S54" s="2">
        <f t="shared" si="7"/>
        <v>2.9000000000000001E-2</v>
      </c>
      <c r="U54" s="2">
        <f t="shared" si="8"/>
        <v>700000</v>
      </c>
      <c r="V54" s="2">
        <f t="shared" si="9"/>
        <v>150000</v>
      </c>
    </row>
    <row r="55" spans="1:22" x14ac:dyDescent="0.65">
      <c r="A55" s="3">
        <f t="shared" si="0"/>
        <v>55</v>
      </c>
      <c r="B55" s="1">
        <v>3</v>
      </c>
      <c r="C55" s="1">
        <f>C54-0.01</f>
        <v>1.28</v>
      </c>
      <c r="D55" s="12">
        <f t="shared" si="19"/>
        <v>3600000</v>
      </c>
      <c r="E55" s="12"/>
      <c r="F55" s="12">
        <f t="shared" si="20"/>
        <v>1233333.3333333333</v>
      </c>
      <c r="G55" s="12"/>
      <c r="H55" s="12">
        <f t="shared" si="21"/>
        <v>423179082.85374933</v>
      </c>
      <c r="I55" s="12"/>
      <c r="J55" s="11">
        <f t="shared" si="18"/>
        <v>423179082.85374933</v>
      </c>
      <c r="K55" s="11"/>
      <c r="M55" s="13">
        <f t="shared" si="22"/>
        <v>6.6035442260301114E-2</v>
      </c>
      <c r="N55" s="13"/>
      <c r="R55" s="2">
        <f t="shared" si="6"/>
        <v>8708709</v>
      </c>
      <c r="S55" s="2">
        <f t="shared" si="7"/>
        <v>2.9000000000000001E-2</v>
      </c>
      <c r="U55" s="2">
        <f t="shared" si="8"/>
        <v>700000</v>
      </c>
      <c r="V55" s="2">
        <f t="shared" si="9"/>
        <v>150000</v>
      </c>
    </row>
    <row r="56" spans="1:22" x14ac:dyDescent="0.65">
      <c r="A56" s="3">
        <f t="shared" si="0"/>
        <v>56</v>
      </c>
      <c r="B56" s="1">
        <v>4</v>
      </c>
      <c r="C56" s="1">
        <f>C55-0.01</f>
        <v>1.27</v>
      </c>
      <c r="D56" s="12">
        <f t="shared" si="19"/>
        <v>3600000</v>
      </c>
      <c r="E56" s="12"/>
      <c r="F56" s="12">
        <f t="shared" si="20"/>
        <v>1249737.5328083988</v>
      </c>
      <c r="G56" s="12"/>
      <c r="H56" s="12">
        <f t="shared" si="21"/>
        <v>451578426.06374186</v>
      </c>
      <c r="I56" s="12"/>
      <c r="J56" s="11">
        <f t="shared" si="18"/>
        <v>451578426.06374186</v>
      </c>
      <c r="K56" s="11"/>
      <c r="M56" s="13">
        <f t="shared" si="22"/>
        <v>6.7109515476234671E-2</v>
      </c>
      <c r="N56" s="13"/>
      <c r="R56" s="2">
        <f t="shared" si="6"/>
        <v>8708709</v>
      </c>
      <c r="S56" s="2">
        <f t="shared" si="7"/>
        <v>2.9000000000000001E-2</v>
      </c>
      <c r="U56" s="2">
        <f t="shared" si="8"/>
        <v>700000</v>
      </c>
      <c r="V56" s="2">
        <f t="shared" si="9"/>
        <v>150000</v>
      </c>
    </row>
    <row r="57" spans="1:22" x14ac:dyDescent="0.65">
      <c r="A57" s="3">
        <f t="shared" si="0"/>
        <v>57</v>
      </c>
      <c r="B57" s="1">
        <v>5</v>
      </c>
      <c r="C57" s="1">
        <f>C56-0.01</f>
        <v>1.26</v>
      </c>
      <c r="D57" s="12">
        <f t="shared" si="19"/>
        <v>3600000</v>
      </c>
      <c r="E57" s="12"/>
      <c r="F57" s="12">
        <f t="shared" si="20"/>
        <v>1266402.1164021161</v>
      </c>
      <c r="G57" s="12"/>
      <c r="H57" s="12">
        <f t="shared" si="21"/>
        <v>482380718.30235922</v>
      </c>
      <c r="I57" s="12"/>
      <c r="J57" s="11">
        <f t="shared" si="18"/>
        <v>482380718.30235922</v>
      </c>
      <c r="K57" s="11"/>
      <c r="M57" s="13">
        <f t="shared" si="22"/>
        <v>6.8210283000254446E-2</v>
      </c>
      <c r="N57" s="13"/>
      <c r="R57" s="2">
        <f t="shared" si="6"/>
        <v>8708709</v>
      </c>
      <c r="S57" s="2">
        <f t="shared" si="7"/>
        <v>2.9000000000000001E-2</v>
      </c>
      <c r="U57" s="2">
        <f t="shared" si="8"/>
        <v>700000</v>
      </c>
      <c r="V57" s="2">
        <f t="shared" si="9"/>
        <v>150000</v>
      </c>
    </row>
    <row r="58" spans="1:22" x14ac:dyDescent="0.65">
      <c r="A58" s="3">
        <f t="shared" si="0"/>
        <v>58</v>
      </c>
      <c r="B58" s="1">
        <v>6</v>
      </c>
      <c r="C58" s="1">
        <v>1.24</v>
      </c>
      <c r="D58" s="12">
        <f t="shared" si="19"/>
        <v>3600000</v>
      </c>
      <c r="E58" s="12"/>
      <c r="F58" s="12">
        <f t="shared" si="20"/>
        <v>1300537.634408602</v>
      </c>
      <c r="G58" s="12"/>
      <c r="H58" s="12">
        <f t="shared" si="21"/>
        <v>552191943.15089786</v>
      </c>
      <c r="I58" s="12"/>
      <c r="J58" s="11">
        <f t="shared" si="18"/>
        <v>552191943.15089786</v>
      </c>
      <c r="K58" s="11"/>
      <c r="M58" s="13">
        <f t="shared" si="22"/>
        <v>0.14472225402007166</v>
      </c>
      <c r="N58" s="13"/>
      <c r="R58" s="2">
        <f t="shared" si="6"/>
        <v>8708709</v>
      </c>
      <c r="S58" s="2">
        <f t="shared" si="7"/>
        <v>2.9000000000000001E-2</v>
      </c>
      <c r="U58" s="2">
        <f t="shared" si="8"/>
        <v>700000</v>
      </c>
      <c r="V58" s="2">
        <f t="shared" si="9"/>
        <v>150000</v>
      </c>
    </row>
    <row r="59" spans="1:22" x14ac:dyDescent="0.65">
      <c r="A59" s="3">
        <f t="shared" si="0"/>
        <v>59</v>
      </c>
      <c r="B59" s="1">
        <v>7</v>
      </c>
      <c r="C59" s="1">
        <f>C58-0.01</f>
        <v>1.23</v>
      </c>
      <c r="D59" s="12">
        <f t="shared" si="19"/>
        <v>3600000</v>
      </c>
      <c r="E59" s="12"/>
      <c r="F59" s="12">
        <f t="shared" si="20"/>
        <v>1318021.6802168023</v>
      </c>
      <c r="G59" s="12"/>
      <c r="H59" s="12">
        <f t="shared" si="21"/>
        <v>591774141.15439022</v>
      </c>
      <c r="I59" s="12"/>
      <c r="J59" s="11">
        <f t="shared" si="18"/>
        <v>591774141.15439022</v>
      </c>
      <c r="K59" s="11"/>
      <c r="M59" s="13">
        <f t="shared" si="22"/>
        <v>7.1681954969552431E-2</v>
      </c>
      <c r="N59" s="13"/>
      <c r="R59" s="2">
        <f t="shared" si="6"/>
        <v>8708709</v>
      </c>
      <c r="S59" s="2">
        <f t="shared" si="7"/>
        <v>2.9000000000000001E-2</v>
      </c>
      <c r="U59" s="2">
        <f t="shared" si="8"/>
        <v>700000</v>
      </c>
      <c r="V59" s="2">
        <f t="shared" si="9"/>
        <v>150000</v>
      </c>
    </row>
    <row r="60" spans="1:22" x14ac:dyDescent="0.65">
      <c r="A60" s="3">
        <f t="shared" si="0"/>
        <v>60</v>
      </c>
      <c r="B60" s="1">
        <v>8</v>
      </c>
      <c r="C60" s="1">
        <f>C59-0.01</f>
        <v>1.22</v>
      </c>
      <c r="D60" s="12">
        <f t="shared" si="19"/>
        <v>3600000</v>
      </c>
      <c r="E60" s="12"/>
      <c r="F60" s="12">
        <f t="shared" si="20"/>
        <v>1335792.3497267761</v>
      </c>
      <c r="G60" s="12"/>
      <c r="H60" s="12">
        <f t="shared" si="21"/>
        <v>634913827.98769486</v>
      </c>
      <c r="I60" s="12"/>
      <c r="J60" s="11">
        <f t="shared" si="18"/>
        <v>634913827.98769486</v>
      </c>
      <c r="K60" s="11"/>
      <c r="M60" s="13">
        <f t="shared" si="22"/>
        <v>7.2898904891570471E-2</v>
      </c>
      <c r="N60" s="13"/>
      <c r="R60" s="2">
        <f t="shared" si="6"/>
        <v>8708709</v>
      </c>
      <c r="S60" s="2">
        <f t="shared" si="7"/>
        <v>2.9000000000000001E-2</v>
      </c>
      <c r="U60" s="2">
        <f t="shared" si="8"/>
        <v>700000</v>
      </c>
      <c r="V60" s="2">
        <f t="shared" si="9"/>
        <v>150000</v>
      </c>
    </row>
    <row r="61" spans="1:22" x14ac:dyDescent="0.65">
      <c r="A61" s="3">
        <f t="shared" si="0"/>
        <v>61</v>
      </c>
      <c r="B61" s="1">
        <v>9</v>
      </c>
      <c r="C61" s="1">
        <f t="shared" ref="C61:C72" si="23">C60-0.01</f>
        <v>1.21</v>
      </c>
      <c r="D61" s="12">
        <f t="shared" si="19"/>
        <v>3600000</v>
      </c>
      <c r="E61" s="12"/>
      <c r="F61" s="12">
        <f t="shared" si="20"/>
        <v>1353856.7493112944</v>
      </c>
      <c r="G61" s="12"/>
      <c r="H61" s="12">
        <f t="shared" si="21"/>
        <v>681991076.20193088</v>
      </c>
      <c r="I61" s="12"/>
      <c r="J61" s="11">
        <f t="shared" si="18"/>
        <v>681991076.20193088</v>
      </c>
      <c r="K61" s="11"/>
      <c r="M61" s="13">
        <f t="shared" si="22"/>
        <v>7.4147460866371917E-2</v>
      </c>
      <c r="N61" s="13"/>
      <c r="R61" s="2">
        <f t="shared" si="6"/>
        <v>8708709</v>
      </c>
      <c r="S61" s="2">
        <f t="shared" si="7"/>
        <v>2.9000000000000001E-2</v>
      </c>
      <c r="U61" s="2">
        <f t="shared" si="8"/>
        <v>700000</v>
      </c>
      <c r="V61" s="2">
        <f t="shared" si="9"/>
        <v>150000</v>
      </c>
    </row>
    <row r="62" spans="1:22" x14ac:dyDescent="0.65">
      <c r="A62" s="3">
        <f t="shared" si="0"/>
        <v>62</v>
      </c>
      <c r="B62" s="1">
        <v>10</v>
      </c>
      <c r="C62" s="1">
        <f t="shared" si="23"/>
        <v>1.2</v>
      </c>
      <c r="D62" s="12">
        <f t="shared" si="19"/>
        <v>3600000</v>
      </c>
      <c r="E62" s="12"/>
      <c r="F62" s="12">
        <f t="shared" si="20"/>
        <v>1372222.222222222</v>
      </c>
      <c r="G62" s="12"/>
      <c r="H62" s="12">
        <f t="shared" si="21"/>
        <v>733432802.86241949</v>
      </c>
      <c r="I62" s="12"/>
      <c r="J62" s="11">
        <f t="shared" si="18"/>
        <v>733432802.86241949</v>
      </c>
      <c r="K62" s="11"/>
      <c r="M62" s="13">
        <f t="shared" si="22"/>
        <v>7.5428738667626227E-2</v>
      </c>
      <c r="N62" s="13"/>
      <c r="R62" s="2">
        <f t="shared" si="6"/>
        <v>8708709</v>
      </c>
      <c r="S62" s="2">
        <f t="shared" si="7"/>
        <v>2.9000000000000001E-2</v>
      </c>
      <c r="U62" s="2">
        <f t="shared" si="8"/>
        <v>700000</v>
      </c>
      <c r="V62" s="2">
        <f t="shared" si="9"/>
        <v>150000</v>
      </c>
    </row>
    <row r="63" spans="1:22" x14ac:dyDescent="0.65">
      <c r="A63" s="3">
        <f t="shared" si="0"/>
        <v>63</v>
      </c>
      <c r="B63" s="1">
        <v>11</v>
      </c>
      <c r="C63" s="1">
        <f t="shared" si="23"/>
        <v>1.19</v>
      </c>
      <c r="D63" s="12">
        <f t="shared" si="19"/>
        <v>3600000</v>
      </c>
      <c r="E63" s="12"/>
      <c r="F63" s="12">
        <f t="shared" si="20"/>
        <v>1390896.3585434174</v>
      </c>
      <c r="G63" s="12"/>
      <c r="H63" s="12">
        <f t="shared" si="21"/>
        <v>789719299.64867628</v>
      </c>
      <c r="I63" s="12"/>
      <c r="J63" s="11">
        <f t="shared" si="18"/>
        <v>789719299.64867628</v>
      </c>
      <c r="K63" s="11"/>
      <c r="M63" s="13">
        <f t="shared" si="22"/>
        <v>7.6743904235784921E-2</v>
      </c>
      <c r="N63" s="13"/>
      <c r="R63" s="2">
        <f t="shared" si="6"/>
        <v>8708709</v>
      </c>
      <c r="S63" s="2">
        <f t="shared" si="7"/>
        <v>2.9000000000000001E-2</v>
      </c>
      <c r="U63" s="2">
        <f t="shared" si="8"/>
        <v>700000</v>
      </c>
      <c r="V63" s="2">
        <f t="shared" si="9"/>
        <v>150000</v>
      </c>
    </row>
    <row r="64" spans="1:22" x14ac:dyDescent="0.65">
      <c r="A64" s="3">
        <f t="shared" si="0"/>
        <v>64</v>
      </c>
      <c r="B64" s="1">
        <v>12</v>
      </c>
      <c r="C64" s="1">
        <f t="shared" si="23"/>
        <v>1.18</v>
      </c>
      <c r="D64" s="12">
        <f t="shared" si="19"/>
        <v>3600000</v>
      </c>
      <c r="E64" s="12"/>
      <c r="F64" s="12">
        <f t="shared" si="20"/>
        <v>1409887.0056497175</v>
      </c>
      <c r="G64" s="12"/>
      <c r="H64" s="12">
        <f t="shared" si="21"/>
        <v>851391777.96878421</v>
      </c>
      <c r="I64" s="12"/>
      <c r="J64" s="11">
        <f t="shared" si="18"/>
        <v>851391777.96878421</v>
      </c>
      <c r="K64" s="11"/>
      <c r="M64" s="13">
        <f t="shared" si="22"/>
        <v>7.8094176434011731E-2</v>
      </c>
      <c r="N64" s="13"/>
      <c r="R64" s="2">
        <f t="shared" si="6"/>
        <v>8708709</v>
      </c>
      <c r="S64" s="2">
        <f t="shared" si="7"/>
        <v>2.9000000000000001E-2</v>
      </c>
      <c r="U64" s="2">
        <f t="shared" si="8"/>
        <v>700000</v>
      </c>
      <c r="V64" s="2">
        <f t="shared" si="9"/>
        <v>150000</v>
      </c>
    </row>
    <row r="65" spans="1:22" x14ac:dyDescent="0.65">
      <c r="A65" s="3">
        <f t="shared" si="0"/>
        <v>65</v>
      </c>
      <c r="B65" s="1">
        <v>13</v>
      </c>
      <c r="C65" s="1">
        <f t="shared" si="23"/>
        <v>1.17</v>
      </c>
      <c r="D65" s="12">
        <f t="shared" si="19"/>
        <v>3600000</v>
      </c>
      <c r="E65" s="12"/>
      <c r="F65" s="12">
        <f t="shared" si="20"/>
        <v>1429202.2792022792</v>
      </c>
      <c r="G65" s="12"/>
      <c r="H65" s="12">
        <f t="shared" si="21"/>
        <v>919061103.12313223</v>
      </c>
      <c r="I65" s="12"/>
      <c r="J65" s="11">
        <f t="shared" si="18"/>
        <v>919061103.12313223</v>
      </c>
      <c r="K65" s="11"/>
      <c r="M65" s="13">
        <f t="shared" si="22"/>
        <v>7.9480829983807011E-2</v>
      </c>
      <c r="N65" s="13"/>
      <c r="R65" s="2">
        <f t="shared" si="6"/>
        <v>8708709</v>
      </c>
      <c r="S65" s="2">
        <f t="shared" si="7"/>
        <v>2.9000000000000001E-2</v>
      </c>
      <c r="U65" s="2">
        <f t="shared" si="8"/>
        <v>700000</v>
      </c>
      <c r="V65" s="2">
        <f t="shared" si="9"/>
        <v>150000</v>
      </c>
    </row>
    <row r="66" spans="1:22" x14ac:dyDescent="0.65">
      <c r="A66" s="3">
        <f t="shared" ref="A66:A129" si="24">A65+1</f>
        <v>66</v>
      </c>
      <c r="B66" s="1">
        <v>14</v>
      </c>
      <c r="C66" s="1">
        <f t="shared" si="23"/>
        <v>1.1599999999999999</v>
      </c>
      <c r="D66" s="12">
        <f t="shared" si="19"/>
        <v>3600000</v>
      </c>
      <c r="E66" s="12"/>
      <c r="F66" s="12">
        <f t="shared" si="20"/>
        <v>1448850.5747126439</v>
      </c>
      <c r="G66" s="12"/>
      <c r="H66" s="12">
        <f t="shared" si="21"/>
        <v>993417924.19128549</v>
      </c>
      <c r="I66" s="12"/>
      <c r="J66" s="11">
        <f t="shared" si="18"/>
        <v>993417924.19128549</v>
      </c>
      <c r="K66" s="11"/>
      <c r="M66" s="13">
        <f t="shared" si="22"/>
        <v>8.0905198593951511E-2</v>
      </c>
      <c r="N66" s="13"/>
      <c r="R66" s="2">
        <f t="shared" si="6"/>
        <v>8708709</v>
      </c>
      <c r="S66" s="2">
        <f t="shared" si="7"/>
        <v>2.9000000000000001E-2</v>
      </c>
      <c r="U66" s="2">
        <f t="shared" si="8"/>
        <v>700000</v>
      </c>
      <c r="V66" s="2">
        <f t="shared" si="9"/>
        <v>150000</v>
      </c>
    </row>
    <row r="67" spans="1:22" x14ac:dyDescent="0.65">
      <c r="A67" s="3">
        <f t="shared" si="24"/>
        <v>67</v>
      </c>
      <c r="B67" s="1">
        <v>15</v>
      </c>
      <c r="C67" s="1">
        <f t="shared" si="23"/>
        <v>1.1499999999999999</v>
      </c>
      <c r="D67" s="12">
        <f t="shared" si="19"/>
        <v>3600000</v>
      </c>
      <c r="E67" s="12"/>
      <c r="F67" s="12">
        <f t="shared" si="20"/>
        <v>1468840.579710145</v>
      </c>
      <c r="G67" s="12"/>
      <c r="H67" s="12">
        <f t="shared" si="21"/>
        <v>1075244445.6040304</v>
      </c>
      <c r="I67" s="12"/>
      <c r="J67" s="11">
        <f t="shared" si="18"/>
        <v>1111751202.7312393</v>
      </c>
      <c r="K67" s="11"/>
      <c r="M67" s="13">
        <f t="shared" si="22"/>
        <v>0.11911731775555157</v>
      </c>
      <c r="N67" s="13"/>
      <c r="R67" s="2">
        <f t="shared" si="6"/>
        <v>8708709</v>
      </c>
      <c r="S67" s="2">
        <f t="shared" si="7"/>
        <v>2.9000000000000001E-2</v>
      </c>
      <c r="U67" s="2">
        <f t="shared" si="8"/>
        <v>700000</v>
      </c>
      <c r="V67" s="2">
        <f t="shared" si="9"/>
        <v>150000</v>
      </c>
    </row>
    <row r="68" spans="1:22" x14ac:dyDescent="0.65">
      <c r="A68" s="3">
        <f t="shared" si="24"/>
        <v>68</v>
      </c>
      <c r="B68" s="1">
        <v>16</v>
      </c>
      <c r="C68" s="1">
        <f t="shared" si="23"/>
        <v>1.1399999999999999</v>
      </c>
      <c r="D68" s="12">
        <f t="shared" si="19"/>
        <v>3600000</v>
      </c>
      <c r="E68" s="12"/>
      <c r="F68" s="12">
        <f t="shared" si="20"/>
        <v>1489181.2865497079</v>
      </c>
      <c r="G68" s="12"/>
      <c r="H68" s="12">
        <f t="shared" si="21"/>
        <v>1165428133.7638109</v>
      </c>
      <c r="I68" s="12"/>
      <c r="J68" s="11">
        <f t="shared" si="18"/>
        <v>1258337743.8161788</v>
      </c>
      <c r="K68" s="11"/>
      <c r="M68" s="13">
        <f t="shared" si="22"/>
        <v>0.13185192939285373</v>
      </c>
      <c r="N68" s="13"/>
      <c r="R68" s="2">
        <f t="shared" si="6"/>
        <v>8708709</v>
      </c>
      <c r="S68" s="2">
        <f t="shared" si="7"/>
        <v>2.9000000000000001E-2</v>
      </c>
      <c r="U68" s="2">
        <f t="shared" si="8"/>
        <v>700000</v>
      </c>
      <c r="V68" s="2">
        <f t="shared" si="9"/>
        <v>150000</v>
      </c>
    </row>
    <row r="69" spans="1:22" x14ac:dyDescent="0.65">
      <c r="A69" s="3">
        <f t="shared" si="24"/>
        <v>69</v>
      </c>
      <c r="B69" s="1">
        <v>17</v>
      </c>
      <c r="C69" s="1">
        <f t="shared" si="23"/>
        <v>1.1299999999999999</v>
      </c>
      <c r="D69" s="12">
        <f t="shared" si="19"/>
        <v>3600000</v>
      </c>
      <c r="E69" s="12"/>
      <c r="F69" s="12">
        <f t="shared" si="20"/>
        <v>1509882.005899705</v>
      </c>
      <c r="G69" s="12"/>
      <c r="H69" s="12">
        <f t="shared" si="21"/>
        <v>1264977709.4002533</v>
      </c>
      <c r="I69" s="12"/>
      <c r="J69" s="11">
        <f t="shared" si="18"/>
        <v>1439792075.5465298</v>
      </c>
      <c r="K69" s="11"/>
      <c r="M69" s="13">
        <f t="shared" si="22"/>
        <v>0.14420161250194385</v>
      </c>
      <c r="N69" s="13"/>
      <c r="R69" s="2">
        <f t="shared" si="6"/>
        <v>8708709</v>
      </c>
      <c r="S69" s="2">
        <f t="shared" si="7"/>
        <v>2.9000000000000001E-2</v>
      </c>
      <c r="U69" s="2">
        <f t="shared" si="8"/>
        <v>700000</v>
      </c>
      <c r="V69" s="2">
        <f t="shared" si="9"/>
        <v>150000</v>
      </c>
    </row>
    <row r="70" spans="1:22" x14ac:dyDescent="0.65">
      <c r="A70" s="3">
        <f t="shared" si="24"/>
        <v>70</v>
      </c>
      <c r="B70" s="1">
        <v>18</v>
      </c>
      <c r="C70" s="1">
        <f t="shared" si="23"/>
        <v>1.1199999999999999</v>
      </c>
      <c r="D70" s="12">
        <f t="shared" si="19"/>
        <v>3600000</v>
      </c>
      <c r="E70" s="12"/>
      <c r="F70" s="12">
        <f t="shared" si="20"/>
        <v>1530952.3809523811</v>
      </c>
      <c r="G70" s="12"/>
      <c r="H70" s="12">
        <f t="shared" si="21"/>
        <v>1375041845.8370063</v>
      </c>
      <c r="I70" s="12"/>
      <c r="J70" s="11">
        <f t="shared" si="18"/>
        <v>1671529406.8948867</v>
      </c>
      <c r="K70" s="11"/>
      <c r="M70" s="13">
        <f t="shared" si="22"/>
        <v>0.16095194249516331</v>
      </c>
      <c r="N70" s="13"/>
      <c r="R70" s="2">
        <f t="shared" si="6"/>
        <v>8708709</v>
      </c>
      <c r="S70" s="2">
        <f t="shared" si="7"/>
        <v>2.9000000000000001E-2</v>
      </c>
      <c r="U70" s="2">
        <f t="shared" si="8"/>
        <v>700000</v>
      </c>
      <c r="V70" s="2">
        <f t="shared" si="9"/>
        <v>150000</v>
      </c>
    </row>
    <row r="71" spans="1:22" x14ac:dyDescent="0.65">
      <c r="A71" s="3">
        <f t="shared" si="24"/>
        <v>71</v>
      </c>
      <c r="B71" s="1">
        <v>19</v>
      </c>
      <c r="C71" s="1">
        <f t="shared" si="23"/>
        <v>1.1099999999999999</v>
      </c>
      <c r="D71" s="12">
        <f t="shared" si="19"/>
        <v>3600000</v>
      </c>
      <c r="E71" s="12"/>
      <c r="F71" s="12">
        <f t="shared" si="20"/>
        <v>1552402.4024024024</v>
      </c>
      <c r="G71" s="12"/>
      <c r="H71" s="12">
        <f t="shared" si="21"/>
        <v>1496931077.7900791</v>
      </c>
      <c r="I71" s="12"/>
      <c r="J71" s="11">
        <f t="shared" si="18"/>
        <v>1981468708.5470982</v>
      </c>
      <c r="K71" s="11"/>
      <c r="M71" s="13">
        <f t="shared" si="22"/>
        <v>0.18542258387662436</v>
      </c>
      <c r="N71" s="13"/>
      <c r="R71" s="2">
        <f t="shared" si="6"/>
        <v>8708709</v>
      </c>
      <c r="S71" s="2">
        <f t="shared" si="7"/>
        <v>2.9000000000000001E-2</v>
      </c>
      <c r="U71" s="2">
        <f t="shared" si="8"/>
        <v>700000</v>
      </c>
      <c r="V71" s="2">
        <f t="shared" si="9"/>
        <v>150000</v>
      </c>
    </row>
    <row r="72" spans="1:22" x14ac:dyDescent="0.65">
      <c r="A72" s="3">
        <f t="shared" si="24"/>
        <v>72</v>
      </c>
      <c r="B72" s="1">
        <v>20</v>
      </c>
      <c r="C72" s="1">
        <f t="shared" si="23"/>
        <v>1.0999999999999999</v>
      </c>
      <c r="D72" s="12">
        <f t="shared" si="19"/>
        <v>3600000</v>
      </c>
      <c r="E72" s="12"/>
      <c r="F72" s="12">
        <f t="shared" si="20"/>
        <v>1574242.4242424243</v>
      </c>
      <c r="G72" s="12"/>
      <c r="H72" s="12">
        <f t="shared" si="21"/>
        <v>1632143528.1928177</v>
      </c>
      <c r="I72" s="12"/>
      <c r="J72" s="11">
        <f t="shared" si="18"/>
        <v>2428660627.3639464</v>
      </c>
      <c r="K72" s="11"/>
      <c r="M72" s="13">
        <f t="shared" si="22"/>
        <v>0.22568709608578663</v>
      </c>
      <c r="N72" s="13"/>
      <c r="R72" s="2">
        <f t="shared" si="6"/>
        <v>8708709</v>
      </c>
      <c r="S72" s="2">
        <f t="shared" si="7"/>
        <v>2.9000000000000001E-2</v>
      </c>
      <c r="U72" s="2">
        <f t="shared" si="8"/>
        <v>700000</v>
      </c>
      <c r="V72" s="2">
        <f t="shared" si="9"/>
        <v>150000</v>
      </c>
    </row>
    <row r="73" spans="1:22" x14ac:dyDescent="0.65">
      <c r="A73" s="3">
        <f t="shared" si="24"/>
        <v>73</v>
      </c>
      <c r="R73" s="2">
        <f t="shared" ref="R73:R136" si="25">R72</f>
        <v>8708709</v>
      </c>
      <c r="S73" s="2">
        <f t="shared" ref="S73:S136" si="26">S72</f>
        <v>2.9000000000000001E-2</v>
      </c>
      <c r="U73" s="2">
        <f t="shared" si="8"/>
        <v>700000</v>
      </c>
      <c r="V73" s="2">
        <f t="shared" si="9"/>
        <v>150000</v>
      </c>
    </row>
    <row r="74" spans="1:22" x14ac:dyDescent="0.65">
      <c r="A74" s="3">
        <f t="shared" si="24"/>
        <v>74</v>
      </c>
      <c r="R74" s="2">
        <f t="shared" si="25"/>
        <v>8708709</v>
      </c>
      <c r="S74" s="2">
        <f t="shared" si="26"/>
        <v>2.9000000000000001E-2</v>
      </c>
      <c r="U74" s="2">
        <f t="shared" ref="U74:U137" si="27">U73</f>
        <v>700000</v>
      </c>
      <c r="V74" s="2">
        <f t="shared" ref="V74:V137" si="28">V73</f>
        <v>150000</v>
      </c>
    </row>
    <row r="75" spans="1:22" ht="23.65" thickBot="1" x14ac:dyDescent="0.7">
      <c r="A75" s="3">
        <f t="shared" si="24"/>
        <v>75</v>
      </c>
      <c r="B75" s="1" t="s">
        <v>4</v>
      </c>
      <c r="C75" s="1" t="s">
        <v>5</v>
      </c>
      <c r="D75" s="12" t="s">
        <v>6</v>
      </c>
      <c r="E75" s="12"/>
      <c r="F75" s="12" t="s">
        <v>7</v>
      </c>
      <c r="G75" s="12"/>
      <c r="H75" s="10" t="s">
        <v>8</v>
      </c>
      <c r="I75" s="10"/>
      <c r="J75" s="10" t="s">
        <v>9</v>
      </c>
      <c r="K75" s="10"/>
      <c r="L75" s="4" t="s">
        <v>10</v>
      </c>
      <c r="R75" s="2">
        <f t="shared" si="25"/>
        <v>8708709</v>
      </c>
      <c r="S75" s="2">
        <f t="shared" si="26"/>
        <v>2.9000000000000001E-2</v>
      </c>
      <c r="U75" s="2">
        <f t="shared" si="27"/>
        <v>700000</v>
      </c>
      <c r="V75" s="2">
        <f t="shared" si="28"/>
        <v>150000</v>
      </c>
    </row>
    <row r="76" spans="1:22" ht="23.25" thickBot="1" x14ac:dyDescent="0.7">
      <c r="A76" s="3">
        <f t="shared" si="24"/>
        <v>76</v>
      </c>
      <c r="B76" s="1">
        <v>1</v>
      </c>
      <c r="C76" s="1">
        <v>1.3</v>
      </c>
      <c r="D76" s="14">
        <f>50000*(A76-7)/23+3850000</f>
        <v>4000000</v>
      </c>
      <c r="E76" s="15"/>
      <c r="F76" s="12">
        <f>D76/C76/1.35-U76-V76</f>
        <v>1429202.2792022792</v>
      </c>
      <c r="G76" s="12"/>
      <c r="H76" s="12">
        <f>(R76*EXP(F76/(R76*S76)-1)-L76)</f>
        <v>919061103.12313223</v>
      </c>
      <c r="I76" s="12"/>
      <c r="J76" s="11">
        <f t="shared" ref="J76:J95" si="29">IF(H76&gt;=1000000000,(1-(LN(2-H76/10^9))/0.7)*10^9,H76)</f>
        <v>919061103.12313223</v>
      </c>
      <c r="K76" s="11"/>
      <c r="M76" s="12" t="s">
        <v>11</v>
      </c>
      <c r="N76" s="12"/>
      <c r="R76" s="2">
        <f t="shared" si="25"/>
        <v>8708709</v>
      </c>
      <c r="S76" s="2">
        <f t="shared" si="26"/>
        <v>2.9000000000000001E-2</v>
      </c>
      <c r="U76" s="2">
        <f t="shared" si="27"/>
        <v>700000</v>
      </c>
      <c r="V76" s="2">
        <f t="shared" si="28"/>
        <v>150000</v>
      </c>
    </row>
    <row r="77" spans="1:22" x14ac:dyDescent="0.65">
      <c r="A77" s="3">
        <f t="shared" si="24"/>
        <v>77</v>
      </c>
      <c r="B77" s="1">
        <v>2</v>
      </c>
      <c r="C77" s="1">
        <f>C76-0.01</f>
        <v>1.29</v>
      </c>
      <c r="D77" s="12">
        <f t="shared" ref="D77:D95" si="30">D76</f>
        <v>4000000</v>
      </c>
      <c r="E77" s="12"/>
      <c r="F77" s="12">
        <f t="shared" ref="F77:F95" si="31">D77/C77/1.35-U77-V77</f>
        <v>1446870.513924777</v>
      </c>
      <c r="G77" s="12"/>
      <c r="H77" s="12">
        <f t="shared" ref="H77:H95" si="32">(R77*EXP(F77/(R77*S77)-1)-L77)</f>
        <v>985659788.44623435</v>
      </c>
      <c r="I77" s="12"/>
      <c r="J77" s="11">
        <f t="shared" si="29"/>
        <v>985659788.44623435</v>
      </c>
      <c r="K77" s="11"/>
      <c r="M77" s="13">
        <f t="shared" ref="M77:M95" si="33">J77/J76-1</f>
        <v>7.2463827591862984E-2</v>
      </c>
      <c r="N77" s="13"/>
      <c r="R77" s="2">
        <f t="shared" si="25"/>
        <v>8708709</v>
      </c>
      <c r="S77" s="2">
        <f t="shared" si="26"/>
        <v>2.9000000000000001E-2</v>
      </c>
      <c r="U77" s="2">
        <f t="shared" si="27"/>
        <v>700000</v>
      </c>
      <c r="V77" s="2">
        <f t="shared" si="28"/>
        <v>150000</v>
      </c>
    </row>
    <row r="78" spans="1:22" x14ac:dyDescent="0.65">
      <c r="A78" s="3">
        <f t="shared" si="24"/>
        <v>78</v>
      </c>
      <c r="B78" s="1">
        <v>3</v>
      </c>
      <c r="C78" s="1">
        <f>C77-0.01</f>
        <v>1.28</v>
      </c>
      <c r="D78" s="12">
        <f t="shared" si="30"/>
        <v>4000000</v>
      </c>
      <c r="E78" s="12"/>
      <c r="F78" s="12">
        <f t="shared" si="31"/>
        <v>1464814.8148148148</v>
      </c>
      <c r="G78" s="12"/>
      <c r="H78" s="12">
        <f t="shared" si="32"/>
        <v>1058240604.2577373</v>
      </c>
      <c r="I78" s="12"/>
      <c r="J78" s="11">
        <f t="shared" si="29"/>
        <v>1085722079.3761039</v>
      </c>
      <c r="K78" s="11"/>
      <c r="M78" s="13">
        <f t="shared" si="33"/>
        <v>0.10151808169795062</v>
      </c>
      <c r="N78" s="13"/>
      <c r="R78" s="2">
        <f t="shared" si="25"/>
        <v>8708709</v>
      </c>
      <c r="S78" s="2">
        <f t="shared" si="26"/>
        <v>2.9000000000000001E-2</v>
      </c>
      <c r="U78" s="2">
        <f t="shared" si="27"/>
        <v>700000</v>
      </c>
      <c r="V78" s="2">
        <f t="shared" si="28"/>
        <v>150000</v>
      </c>
    </row>
    <row r="79" spans="1:22" x14ac:dyDescent="0.65">
      <c r="A79" s="3">
        <f t="shared" si="24"/>
        <v>79</v>
      </c>
      <c r="B79" s="1">
        <v>4</v>
      </c>
      <c r="C79" s="1">
        <f>C78-0.01</f>
        <v>1.27</v>
      </c>
      <c r="D79" s="12">
        <f t="shared" si="30"/>
        <v>4000000</v>
      </c>
      <c r="E79" s="12"/>
      <c r="F79" s="12">
        <f t="shared" si="31"/>
        <v>1483041.703120443</v>
      </c>
      <c r="G79" s="12"/>
      <c r="H79" s="12">
        <f t="shared" si="32"/>
        <v>1137438034.113826</v>
      </c>
      <c r="I79" s="12"/>
      <c r="J79" s="11">
        <f t="shared" si="29"/>
        <v>1211211840.2165802</v>
      </c>
      <c r="K79" s="11"/>
      <c r="M79" s="13">
        <f t="shared" si="33"/>
        <v>0.11558184476877109</v>
      </c>
      <c r="N79" s="13"/>
      <c r="R79" s="2">
        <f t="shared" si="25"/>
        <v>8708709</v>
      </c>
      <c r="S79" s="2">
        <f t="shared" si="26"/>
        <v>2.9000000000000001E-2</v>
      </c>
      <c r="U79" s="2">
        <f t="shared" si="27"/>
        <v>700000</v>
      </c>
      <c r="V79" s="2">
        <f t="shared" si="28"/>
        <v>150000</v>
      </c>
    </row>
    <row r="80" spans="1:22" x14ac:dyDescent="0.65">
      <c r="A80" s="3">
        <f t="shared" si="24"/>
        <v>80</v>
      </c>
      <c r="B80" s="1">
        <v>5</v>
      </c>
      <c r="C80" s="1">
        <f>C79-0.01</f>
        <v>1.26</v>
      </c>
      <c r="D80" s="12">
        <f t="shared" si="30"/>
        <v>4000000</v>
      </c>
      <c r="E80" s="12"/>
      <c r="F80" s="12">
        <f t="shared" si="31"/>
        <v>1501557.9071134622</v>
      </c>
      <c r="G80" s="12"/>
      <c r="H80" s="12">
        <f t="shared" si="32"/>
        <v>1223963831.3888955</v>
      </c>
      <c r="I80" s="12"/>
      <c r="J80" s="11">
        <f t="shared" si="29"/>
        <v>1362223072.6430814</v>
      </c>
      <c r="K80" s="11"/>
      <c r="M80" s="13">
        <f t="shared" si="33"/>
        <v>0.12467780400784267</v>
      </c>
      <c r="N80" s="13"/>
      <c r="R80" s="2">
        <f t="shared" si="25"/>
        <v>8708709</v>
      </c>
      <c r="S80" s="2">
        <f t="shared" si="26"/>
        <v>2.9000000000000001E-2</v>
      </c>
      <c r="U80" s="2">
        <f t="shared" si="27"/>
        <v>700000</v>
      </c>
      <c r="V80" s="2">
        <f t="shared" si="28"/>
        <v>150000</v>
      </c>
    </row>
    <row r="81" spans="1:22" x14ac:dyDescent="0.65">
      <c r="A81" s="3">
        <f t="shared" si="24"/>
        <v>81</v>
      </c>
      <c r="B81" s="1">
        <v>6</v>
      </c>
      <c r="C81" s="1">
        <v>1.24</v>
      </c>
      <c r="D81" s="12">
        <f t="shared" si="30"/>
        <v>4000000</v>
      </c>
      <c r="E81" s="12"/>
      <c r="F81" s="12">
        <f t="shared" si="31"/>
        <v>1539486.2604540023</v>
      </c>
      <c r="G81" s="12"/>
      <c r="H81" s="12">
        <f t="shared" si="32"/>
        <v>1422299136.7573352</v>
      </c>
      <c r="I81" s="12"/>
      <c r="J81" s="11">
        <f t="shared" si="29"/>
        <v>1783855831.3157692</v>
      </c>
      <c r="K81" s="11"/>
      <c r="M81" s="13">
        <f t="shared" si="33"/>
        <v>0.30951814511158293</v>
      </c>
      <c r="N81" s="13"/>
      <c r="R81" s="2">
        <f t="shared" si="25"/>
        <v>8708709</v>
      </c>
      <c r="S81" s="2">
        <f t="shared" si="26"/>
        <v>2.9000000000000001E-2</v>
      </c>
      <c r="U81" s="2">
        <f t="shared" si="27"/>
        <v>700000</v>
      </c>
      <c r="V81" s="2">
        <f t="shared" si="28"/>
        <v>150000</v>
      </c>
    </row>
    <row r="82" spans="1:22" x14ac:dyDescent="0.65">
      <c r="A82" s="3">
        <f t="shared" si="24"/>
        <v>82</v>
      </c>
      <c r="B82" s="1">
        <v>7</v>
      </c>
      <c r="C82" s="1">
        <f>C81-0.01</f>
        <v>1.23</v>
      </c>
      <c r="D82" s="12">
        <f t="shared" si="30"/>
        <v>4000000</v>
      </c>
      <c r="E82" s="12"/>
      <c r="F82" s="12">
        <f t="shared" si="31"/>
        <v>1558912.9780186689</v>
      </c>
      <c r="G82" s="12"/>
      <c r="H82" s="12">
        <f t="shared" si="32"/>
        <v>1536022304.5423112</v>
      </c>
      <c r="I82" s="12"/>
      <c r="J82" s="11">
        <f t="shared" si="29"/>
        <v>2097026854.350827</v>
      </c>
      <c r="K82" s="11"/>
      <c r="M82" s="13">
        <f t="shared" si="33"/>
        <v>0.17555848266284135</v>
      </c>
      <c r="N82" s="13"/>
      <c r="R82" s="2">
        <f t="shared" si="25"/>
        <v>8708709</v>
      </c>
      <c r="S82" s="2">
        <f t="shared" si="26"/>
        <v>2.9000000000000001E-2</v>
      </c>
      <c r="U82" s="2">
        <f t="shared" si="27"/>
        <v>700000</v>
      </c>
      <c r="V82" s="2">
        <f t="shared" si="28"/>
        <v>150000</v>
      </c>
    </row>
    <row r="83" spans="1:22" x14ac:dyDescent="0.65">
      <c r="A83" s="3">
        <f t="shared" si="24"/>
        <v>83</v>
      </c>
      <c r="B83" s="1">
        <v>8</v>
      </c>
      <c r="C83" s="1">
        <f>C82-0.01</f>
        <v>1.22</v>
      </c>
      <c r="D83" s="12">
        <f t="shared" si="30"/>
        <v>4000000</v>
      </c>
      <c r="E83" s="12"/>
      <c r="F83" s="12">
        <f t="shared" si="31"/>
        <v>1578658.1663630842</v>
      </c>
      <c r="G83" s="12"/>
      <c r="H83" s="12">
        <f t="shared" si="32"/>
        <v>1660931595.1875963</v>
      </c>
      <c r="I83" s="12"/>
      <c r="J83" s="11">
        <f t="shared" si="29"/>
        <v>2545076296.9285369</v>
      </c>
      <c r="K83" s="11"/>
      <c r="M83" s="13">
        <f t="shared" si="33"/>
        <v>0.21365937286311576</v>
      </c>
      <c r="N83" s="13"/>
      <c r="R83" s="2">
        <f t="shared" si="25"/>
        <v>8708709</v>
      </c>
      <c r="S83" s="2">
        <f t="shared" si="26"/>
        <v>2.9000000000000001E-2</v>
      </c>
      <c r="U83" s="2">
        <f t="shared" si="27"/>
        <v>700000</v>
      </c>
      <c r="V83" s="2">
        <f t="shared" si="28"/>
        <v>150000</v>
      </c>
    </row>
    <row r="84" spans="1:22" x14ac:dyDescent="0.65">
      <c r="A84" s="3">
        <f t="shared" si="24"/>
        <v>84</v>
      </c>
      <c r="B84" s="1">
        <v>9</v>
      </c>
      <c r="C84" s="1">
        <f t="shared" ref="C84:C95" si="34">C83-0.01</f>
        <v>1.21</v>
      </c>
      <c r="D84" s="12">
        <f t="shared" si="30"/>
        <v>4000000</v>
      </c>
      <c r="E84" s="12"/>
      <c r="F84" s="12">
        <f t="shared" si="31"/>
        <v>1598729.7214569938</v>
      </c>
      <c r="G84" s="12"/>
      <c r="H84" s="12">
        <f t="shared" si="32"/>
        <v>1798320925.737102</v>
      </c>
      <c r="I84" s="12"/>
      <c r="J84" s="11">
        <f t="shared" si="29"/>
        <v>3287253694.6306267</v>
      </c>
      <c r="K84" s="11"/>
      <c r="M84" s="13">
        <f t="shared" si="33"/>
        <v>0.29161302496030017</v>
      </c>
      <c r="N84" s="13"/>
      <c r="R84" s="2">
        <f t="shared" si="25"/>
        <v>8708709</v>
      </c>
      <c r="S84" s="2">
        <f t="shared" si="26"/>
        <v>2.9000000000000001E-2</v>
      </c>
      <c r="U84" s="2">
        <f t="shared" si="27"/>
        <v>700000</v>
      </c>
      <c r="V84" s="2">
        <f t="shared" si="28"/>
        <v>150000</v>
      </c>
    </row>
    <row r="85" spans="1:22" x14ac:dyDescent="0.65">
      <c r="A85" s="3">
        <f t="shared" si="24"/>
        <v>85</v>
      </c>
      <c r="B85" s="1">
        <v>10</v>
      </c>
      <c r="C85" s="1">
        <f t="shared" si="34"/>
        <v>1.2</v>
      </c>
      <c r="D85" s="12">
        <f t="shared" si="30"/>
        <v>4000000</v>
      </c>
      <c r="E85" s="12"/>
      <c r="F85" s="12">
        <f t="shared" si="31"/>
        <v>1619135.8024691357</v>
      </c>
      <c r="G85" s="12"/>
      <c r="H85" s="12">
        <f t="shared" si="32"/>
        <v>1949655623.3356569</v>
      </c>
      <c r="I85" s="12"/>
      <c r="J85" s="11">
        <f t="shared" si="29"/>
        <v>5269811929.9621363</v>
      </c>
      <c r="K85" s="11"/>
      <c r="M85" s="13">
        <f t="shared" si="33"/>
        <v>0.60310472494709</v>
      </c>
      <c r="N85" s="13"/>
      <c r="R85" s="2">
        <f t="shared" si="25"/>
        <v>8708709</v>
      </c>
      <c r="S85" s="2">
        <f t="shared" si="26"/>
        <v>2.9000000000000001E-2</v>
      </c>
      <c r="U85" s="2">
        <f t="shared" si="27"/>
        <v>700000</v>
      </c>
      <c r="V85" s="2">
        <f t="shared" si="28"/>
        <v>150000</v>
      </c>
    </row>
    <row r="86" spans="1:22" x14ac:dyDescent="0.65">
      <c r="A86" s="3">
        <f t="shared" si="24"/>
        <v>86</v>
      </c>
      <c r="B86" s="1">
        <v>11</v>
      </c>
      <c r="C86" s="1">
        <f t="shared" si="34"/>
        <v>1.19</v>
      </c>
      <c r="D86" s="12">
        <f t="shared" si="30"/>
        <v>4000000</v>
      </c>
      <c r="E86" s="12"/>
      <c r="F86" s="12">
        <f t="shared" si="31"/>
        <v>1639884.842826019</v>
      </c>
      <c r="G86" s="12"/>
      <c r="H86" s="12">
        <f t="shared" si="32"/>
        <v>2116597970.3453226</v>
      </c>
      <c r="I86" s="12"/>
      <c r="J86" s="11" t="e">
        <f t="shared" si="29"/>
        <v>#NUM!</v>
      </c>
      <c r="K86" s="11"/>
      <c r="M86" s="13" t="e">
        <f t="shared" si="33"/>
        <v>#NUM!</v>
      </c>
      <c r="N86" s="13"/>
      <c r="R86" s="2">
        <f t="shared" si="25"/>
        <v>8708709</v>
      </c>
      <c r="S86" s="2">
        <f t="shared" si="26"/>
        <v>2.9000000000000001E-2</v>
      </c>
      <c r="U86" s="2">
        <f t="shared" si="27"/>
        <v>700000</v>
      </c>
      <c r="V86" s="2">
        <f t="shared" si="28"/>
        <v>150000</v>
      </c>
    </row>
    <row r="87" spans="1:22" x14ac:dyDescent="0.65">
      <c r="A87" s="3">
        <f t="shared" si="24"/>
        <v>87</v>
      </c>
      <c r="B87" s="1">
        <v>12</v>
      </c>
      <c r="C87" s="1">
        <f t="shared" si="34"/>
        <v>1.18</v>
      </c>
      <c r="D87" s="12">
        <f t="shared" si="30"/>
        <v>4000000</v>
      </c>
      <c r="E87" s="12"/>
      <c r="F87" s="12">
        <f t="shared" si="31"/>
        <v>1660985.5618330194</v>
      </c>
      <c r="G87" s="12"/>
      <c r="H87" s="12">
        <f t="shared" si="32"/>
        <v>2301036976.8202243</v>
      </c>
      <c r="I87" s="12"/>
      <c r="J87" s="11" t="e">
        <f t="shared" si="29"/>
        <v>#NUM!</v>
      </c>
      <c r="K87" s="11"/>
      <c r="M87" s="13" t="e">
        <f t="shared" si="33"/>
        <v>#NUM!</v>
      </c>
      <c r="N87" s="13"/>
      <c r="R87" s="2">
        <f t="shared" si="25"/>
        <v>8708709</v>
      </c>
      <c r="S87" s="2">
        <f t="shared" si="26"/>
        <v>2.9000000000000001E-2</v>
      </c>
      <c r="U87" s="2">
        <f t="shared" si="27"/>
        <v>700000</v>
      </c>
      <c r="V87" s="2">
        <f t="shared" si="28"/>
        <v>150000</v>
      </c>
    </row>
    <row r="88" spans="1:22" x14ac:dyDescent="0.65">
      <c r="A88" s="3">
        <f t="shared" si="24"/>
        <v>88</v>
      </c>
      <c r="B88" s="1">
        <v>13</v>
      </c>
      <c r="C88" s="1">
        <f t="shared" si="34"/>
        <v>1.17</v>
      </c>
      <c r="D88" s="12">
        <f t="shared" si="30"/>
        <v>4000000</v>
      </c>
      <c r="E88" s="12"/>
      <c r="F88" s="12">
        <f t="shared" si="31"/>
        <v>1682446.9768914212</v>
      </c>
      <c r="G88" s="12"/>
      <c r="H88" s="12">
        <f t="shared" si="32"/>
        <v>2505123149.4657936</v>
      </c>
      <c r="I88" s="12"/>
      <c r="J88" s="11" t="e">
        <f t="shared" si="29"/>
        <v>#NUM!</v>
      </c>
      <c r="K88" s="11"/>
      <c r="M88" s="13" t="e">
        <f t="shared" si="33"/>
        <v>#NUM!</v>
      </c>
      <c r="N88" s="13"/>
      <c r="R88" s="2">
        <f t="shared" si="25"/>
        <v>8708709</v>
      </c>
      <c r="S88" s="2">
        <f t="shared" si="26"/>
        <v>2.9000000000000001E-2</v>
      </c>
      <c r="U88" s="2">
        <f t="shared" si="27"/>
        <v>700000</v>
      </c>
      <c r="V88" s="2">
        <f t="shared" si="28"/>
        <v>150000</v>
      </c>
    </row>
    <row r="89" spans="1:22" x14ac:dyDescent="0.65">
      <c r="A89" s="3">
        <f t="shared" si="24"/>
        <v>89</v>
      </c>
      <c r="B89" s="1">
        <v>14</v>
      </c>
      <c r="C89" s="1">
        <f t="shared" si="34"/>
        <v>1.1599999999999999</v>
      </c>
      <c r="D89" s="12">
        <f t="shared" si="30"/>
        <v>4000000</v>
      </c>
      <c r="E89" s="12"/>
      <c r="F89" s="12">
        <f t="shared" si="31"/>
        <v>1704278.4163473817</v>
      </c>
      <c r="G89" s="12"/>
      <c r="H89" s="12">
        <f t="shared" si="32"/>
        <v>2731309178.8488531</v>
      </c>
      <c r="I89" s="12"/>
      <c r="J89" s="11" t="e">
        <f t="shared" si="29"/>
        <v>#NUM!</v>
      </c>
      <c r="K89" s="11"/>
      <c r="M89" s="13" t="e">
        <f t="shared" si="33"/>
        <v>#NUM!</v>
      </c>
      <c r="N89" s="13"/>
      <c r="R89" s="2">
        <f t="shared" si="25"/>
        <v>8708709</v>
      </c>
      <c r="S89" s="2">
        <f t="shared" si="26"/>
        <v>2.9000000000000001E-2</v>
      </c>
      <c r="U89" s="2">
        <f t="shared" si="27"/>
        <v>700000</v>
      </c>
      <c r="V89" s="2">
        <f t="shared" si="28"/>
        <v>150000</v>
      </c>
    </row>
    <row r="90" spans="1:22" x14ac:dyDescent="0.65">
      <c r="A90" s="3">
        <f t="shared" si="24"/>
        <v>90</v>
      </c>
      <c r="B90" s="1">
        <v>15</v>
      </c>
      <c r="C90" s="1">
        <f t="shared" si="34"/>
        <v>1.1499999999999999</v>
      </c>
      <c r="D90" s="12">
        <f t="shared" si="30"/>
        <v>4000000</v>
      </c>
      <c r="E90" s="12"/>
      <c r="F90" s="12">
        <f t="shared" si="31"/>
        <v>1726489.5330112721</v>
      </c>
      <c r="G90" s="12"/>
      <c r="H90" s="12">
        <f t="shared" si="32"/>
        <v>2982397652.097734</v>
      </c>
      <c r="I90" s="12"/>
      <c r="J90" s="11" t="e">
        <f t="shared" si="29"/>
        <v>#NUM!</v>
      </c>
      <c r="K90" s="11"/>
      <c r="M90" s="13" t="e">
        <f t="shared" si="33"/>
        <v>#NUM!</v>
      </c>
      <c r="N90" s="13"/>
      <c r="R90" s="2">
        <f t="shared" si="25"/>
        <v>8708709</v>
      </c>
      <c r="S90" s="2">
        <f t="shared" si="26"/>
        <v>2.9000000000000001E-2</v>
      </c>
      <c r="U90" s="2">
        <f t="shared" si="27"/>
        <v>700000</v>
      </c>
      <c r="V90" s="2">
        <f t="shared" si="28"/>
        <v>150000</v>
      </c>
    </row>
    <row r="91" spans="1:22" x14ac:dyDescent="0.65">
      <c r="A91" s="3">
        <f t="shared" si="24"/>
        <v>91</v>
      </c>
      <c r="B91" s="1">
        <v>16</v>
      </c>
      <c r="C91" s="1">
        <f t="shared" si="34"/>
        <v>1.1399999999999999</v>
      </c>
      <c r="D91" s="12">
        <f t="shared" si="30"/>
        <v>4000000</v>
      </c>
      <c r="E91" s="12"/>
      <c r="F91" s="12">
        <f t="shared" si="31"/>
        <v>1749090.318388564</v>
      </c>
      <c r="G91" s="12"/>
      <c r="H91" s="12">
        <f t="shared" si="32"/>
        <v>3261597124.2502308</v>
      </c>
      <c r="I91" s="12"/>
      <c r="J91" s="11" t="e">
        <f t="shared" si="29"/>
        <v>#NUM!</v>
      </c>
      <c r="K91" s="11"/>
      <c r="M91" s="13" t="e">
        <f t="shared" si="33"/>
        <v>#NUM!</v>
      </c>
      <c r="N91" s="13"/>
      <c r="R91" s="2">
        <f t="shared" si="25"/>
        <v>8708709</v>
      </c>
      <c r="S91" s="2">
        <f t="shared" si="26"/>
        <v>2.9000000000000001E-2</v>
      </c>
      <c r="U91" s="2">
        <f t="shared" si="27"/>
        <v>700000</v>
      </c>
      <c r="V91" s="2">
        <f t="shared" si="28"/>
        <v>150000</v>
      </c>
    </row>
    <row r="92" spans="1:22" x14ac:dyDescent="0.65">
      <c r="A92" s="3">
        <f t="shared" si="24"/>
        <v>92</v>
      </c>
      <c r="B92" s="1">
        <v>17</v>
      </c>
      <c r="C92" s="1">
        <f t="shared" si="34"/>
        <v>1.1299999999999999</v>
      </c>
      <c r="D92" s="12">
        <f t="shared" si="30"/>
        <v>4000000</v>
      </c>
      <c r="E92" s="12"/>
      <c r="F92" s="12">
        <f t="shared" si="31"/>
        <v>1772091.117666339</v>
      </c>
      <c r="G92" s="12"/>
      <c r="H92" s="12">
        <f t="shared" si="32"/>
        <v>3572588157.2802777</v>
      </c>
      <c r="I92" s="12"/>
      <c r="J92" s="11" t="e">
        <f t="shared" si="29"/>
        <v>#NUM!</v>
      </c>
      <c r="K92" s="11"/>
      <c r="M92" s="13" t="e">
        <f t="shared" si="33"/>
        <v>#NUM!</v>
      </c>
      <c r="N92" s="13"/>
      <c r="R92" s="2">
        <f t="shared" si="25"/>
        <v>8708709</v>
      </c>
      <c r="S92" s="2">
        <f t="shared" si="26"/>
        <v>2.9000000000000001E-2</v>
      </c>
      <c r="U92" s="2">
        <f t="shared" si="27"/>
        <v>700000</v>
      </c>
      <c r="V92" s="2">
        <f t="shared" si="28"/>
        <v>150000</v>
      </c>
    </row>
    <row r="93" spans="1:22" x14ac:dyDescent="0.65">
      <c r="A93" s="3">
        <f t="shared" si="24"/>
        <v>93</v>
      </c>
      <c r="B93" s="1">
        <v>18</v>
      </c>
      <c r="C93" s="1">
        <f t="shared" si="34"/>
        <v>1.1199999999999999</v>
      </c>
      <c r="D93" s="12">
        <f t="shared" si="30"/>
        <v>4000000</v>
      </c>
      <c r="E93" s="12"/>
      <c r="F93" s="12">
        <f t="shared" si="31"/>
        <v>1795502.6455026455</v>
      </c>
      <c r="G93" s="12"/>
      <c r="H93" s="12">
        <f t="shared" si="32"/>
        <v>3919601273.5685477</v>
      </c>
      <c r="I93" s="12"/>
      <c r="J93" s="11" t="e">
        <f t="shared" si="29"/>
        <v>#NUM!</v>
      </c>
      <c r="K93" s="11"/>
      <c r="M93" s="13" t="e">
        <f t="shared" si="33"/>
        <v>#NUM!</v>
      </c>
      <c r="N93" s="13"/>
      <c r="R93" s="2">
        <f t="shared" si="25"/>
        <v>8708709</v>
      </c>
      <c r="S93" s="2">
        <f t="shared" si="26"/>
        <v>2.9000000000000001E-2</v>
      </c>
      <c r="U93" s="2">
        <f t="shared" si="27"/>
        <v>700000</v>
      </c>
      <c r="V93" s="2">
        <f t="shared" si="28"/>
        <v>150000</v>
      </c>
    </row>
    <row r="94" spans="1:22" x14ac:dyDescent="0.65">
      <c r="A94" s="3">
        <f t="shared" si="24"/>
        <v>94</v>
      </c>
      <c r="B94" s="1">
        <v>19</v>
      </c>
      <c r="C94" s="1">
        <f t="shared" si="34"/>
        <v>1.1099999999999999</v>
      </c>
      <c r="D94" s="12">
        <f t="shared" si="30"/>
        <v>4000000</v>
      </c>
      <c r="E94" s="12"/>
      <c r="F94" s="12">
        <f t="shared" si="31"/>
        <v>1819336.0026693358</v>
      </c>
      <c r="G94" s="12"/>
      <c r="H94" s="12">
        <f t="shared" si="32"/>
        <v>4307509185.1319208</v>
      </c>
      <c r="I94" s="12"/>
      <c r="J94" s="11" t="e">
        <f t="shared" si="29"/>
        <v>#NUM!</v>
      </c>
      <c r="K94" s="11"/>
      <c r="M94" s="13" t="e">
        <f t="shared" si="33"/>
        <v>#NUM!</v>
      </c>
      <c r="N94" s="13"/>
      <c r="R94" s="2">
        <f t="shared" si="25"/>
        <v>8708709</v>
      </c>
      <c r="S94" s="2">
        <f t="shared" si="26"/>
        <v>2.9000000000000001E-2</v>
      </c>
      <c r="U94" s="2">
        <f t="shared" si="27"/>
        <v>700000</v>
      </c>
      <c r="V94" s="2">
        <f t="shared" si="28"/>
        <v>150000</v>
      </c>
    </row>
    <row r="95" spans="1:22" x14ac:dyDescent="0.65">
      <c r="A95" s="3">
        <f t="shared" si="24"/>
        <v>95</v>
      </c>
      <c r="B95" s="1">
        <v>20</v>
      </c>
      <c r="C95" s="1">
        <f t="shared" si="34"/>
        <v>1.0999999999999999</v>
      </c>
      <c r="D95" s="12">
        <f t="shared" si="30"/>
        <v>4000000</v>
      </c>
      <c r="E95" s="12"/>
      <c r="F95" s="12">
        <f t="shared" si="31"/>
        <v>1843602.6936026937</v>
      </c>
      <c r="G95" s="12"/>
      <c r="H95" s="12">
        <f t="shared" si="32"/>
        <v>4741936170.1243286</v>
      </c>
      <c r="I95" s="12"/>
      <c r="J95" s="11" t="e">
        <f t="shared" si="29"/>
        <v>#NUM!</v>
      </c>
      <c r="K95" s="11"/>
      <c r="M95" s="13" t="e">
        <f t="shared" si="33"/>
        <v>#NUM!</v>
      </c>
      <c r="N95" s="13"/>
      <c r="R95" s="2">
        <f t="shared" si="25"/>
        <v>8708709</v>
      </c>
      <c r="S95" s="2">
        <f t="shared" si="26"/>
        <v>2.9000000000000001E-2</v>
      </c>
      <c r="U95" s="2">
        <f t="shared" si="27"/>
        <v>700000</v>
      </c>
      <c r="V95" s="2">
        <f t="shared" si="28"/>
        <v>150000</v>
      </c>
    </row>
    <row r="96" spans="1:22" x14ac:dyDescent="0.65">
      <c r="A96" s="3">
        <f t="shared" si="24"/>
        <v>96</v>
      </c>
      <c r="R96" s="2">
        <f t="shared" si="25"/>
        <v>8708709</v>
      </c>
      <c r="S96" s="2">
        <f t="shared" si="26"/>
        <v>2.9000000000000001E-2</v>
      </c>
      <c r="U96" s="2">
        <f t="shared" si="27"/>
        <v>700000</v>
      </c>
      <c r="V96" s="2">
        <f t="shared" si="28"/>
        <v>150000</v>
      </c>
    </row>
    <row r="97" spans="1:22" x14ac:dyDescent="0.65">
      <c r="A97" s="3">
        <f t="shared" si="24"/>
        <v>97</v>
      </c>
      <c r="R97" s="2">
        <f t="shared" si="25"/>
        <v>8708709</v>
      </c>
      <c r="S97" s="2">
        <f t="shared" si="26"/>
        <v>2.9000000000000001E-2</v>
      </c>
      <c r="U97" s="2">
        <f t="shared" si="27"/>
        <v>700000</v>
      </c>
      <c r="V97" s="2">
        <f t="shared" si="28"/>
        <v>150000</v>
      </c>
    </row>
    <row r="98" spans="1:22" ht="23.65" thickBot="1" x14ac:dyDescent="0.7">
      <c r="A98" s="3">
        <f t="shared" si="24"/>
        <v>98</v>
      </c>
      <c r="B98" s="1" t="s">
        <v>4</v>
      </c>
      <c r="C98" s="1" t="s">
        <v>5</v>
      </c>
      <c r="D98" s="12" t="s">
        <v>6</v>
      </c>
      <c r="E98" s="12"/>
      <c r="F98" s="12" t="s">
        <v>7</v>
      </c>
      <c r="G98" s="12"/>
      <c r="H98" s="10" t="s">
        <v>8</v>
      </c>
      <c r="I98" s="10"/>
      <c r="J98" s="10" t="s">
        <v>9</v>
      </c>
      <c r="K98" s="10"/>
      <c r="L98" s="4" t="s">
        <v>10</v>
      </c>
      <c r="R98" s="2">
        <f t="shared" si="25"/>
        <v>8708709</v>
      </c>
      <c r="S98" s="2">
        <f t="shared" si="26"/>
        <v>2.9000000000000001E-2</v>
      </c>
      <c r="U98" s="2">
        <f t="shared" si="27"/>
        <v>700000</v>
      </c>
      <c r="V98" s="2">
        <f t="shared" si="28"/>
        <v>150000</v>
      </c>
    </row>
    <row r="99" spans="1:22" ht="23.25" thickBot="1" x14ac:dyDescent="0.7">
      <c r="A99" s="3">
        <f t="shared" si="24"/>
        <v>99</v>
      </c>
      <c r="B99" s="1">
        <v>1</v>
      </c>
      <c r="C99" s="1">
        <v>1.3</v>
      </c>
      <c r="D99" s="14">
        <f>50000*(A99-7)/23+3850000</f>
        <v>4050000</v>
      </c>
      <c r="E99" s="15"/>
      <c r="F99" s="12">
        <f>D99/C99/1.35-U99-V99</f>
        <v>1457692.3076923075</v>
      </c>
      <c r="G99" s="12"/>
      <c r="H99" s="12">
        <f>(R99*EXP(F99/(R99*S99)-1)-L99)</f>
        <v>1028812930.9903595</v>
      </c>
      <c r="I99" s="12"/>
      <c r="J99" s="11">
        <f t="shared" ref="J99:J118" si="35">IF(H99&gt;=1000000000,(1-(LN(2-H99/10^9))/0.7)*10^9,H99)</f>
        <v>1041765961.7313679</v>
      </c>
      <c r="K99" s="11"/>
      <c r="M99" s="12" t="s">
        <v>11</v>
      </c>
      <c r="N99" s="12"/>
      <c r="R99" s="2">
        <f t="shared" si="25"/>
        <v>8708709</v>
      </c>
      <c r="S99" s="2">
        <f t="shared" si="26"/>
        <v>2.9000000000000001E-2</v>
      </c>
      <c r="U99" s="2">
        <f t="shared" si="27"/>
        <v>700000</v>
      </c>
      <c r="V99" s="2">
        <f t="shared" si="28"/>
        <v>150000</v>
      </c>
    </row>
    <row r="100" spans="1:22" x14ac:dyDescent="0.65">
      <c r="A100" s="3">
        <f t="shared" si="24"/>
        <v>100</v>
      </c>
      <c r="B100" s="1">
        <v>2</v>
      </c>
      <c r="C100" s="1">
        <f>C99-0.01</f>
        <v>1.29</v>
      </c>
      <c r="D100" s="12">
        <f t="shared" ref="D100:D118" si="36">D99</f>
        <v>4050000</v>
      </c>
      <c r="E100" s="12"/>
      <c r="F100" s="12">
        <f t="shared" ref="F100:F118" si="37">D100/C100/1.35-U100-V100</f>
        <v>1475581.3953488371</v>
      </c>
      <c r="G100" s="12"/>
      <c r="H100" s="12">
        <f t="shared" ref="H100:H118" si="38">(R100*EXP(F100/(R100*S100)-1)-L100)</f>
        <v>1104329949.540417</v>
      </c>
      <c r="I100" s="12"/>
      <c r="J100" s="11">
        <f t="shared" si="35"/>
        <v>1157404544.402581</v>
      </c>
      <c r="K100" s="11"/>
      <c r="M100" s="13">
        <f t="shared" ref="M100:M118" si="39">J100/J99-1</f>
        <v>0.11100245824794164</v>
      </c>
      <c r="N100" s="13"/>
      <c r="R100" s="2">
        <f t="shared" si="25"/>
        <v>8708709</v>
      </c>
      <c r="S100" s="2">
        <f t="shared" si="26"/>
        <v>2.9000000000000001E-2</v>
      </c>
      <c r="U100" s="2">
        <f t="shared" si="27"/>
        <v>700000</v>
      </c>
      <c r="V100" s="2">
        <f t="shared" si="28"/>
        <v>150000</v>
      </c>
    </row>
    <row r="101" spans="1:22" x14ac:dyDescent="0.65">
      <c r="A101" s="3">
        <f t="shared" si="24"/>
        <v>101</v>
      </c>
      <c r="B101" s="1">
        <v>3</v>
      </c>
      <c r="C101" s="1">
        <f>C100-0.01</f>
        <v>1.28</v>
      </c>
      <c r="D101" s="12">
        <f t="shared" si="36"/>
        <v>4050000</v>
      </c>
      <c r="E101" s="12"/>
      <c r="F101" s="12">
        <f t="shared" si="37"/>
        <v>1493750</v>
      </c>
      <c r="G101" s="12"/>
      <c r="H101" s="12">
        <f t="shared" si="38"/>
        <v>1186702752.6458094</v>
      </c>
      <c r="I101" s="12"/>
      <c r="J101" s="11">
        <f t="shared" si="35"/>
        <v>1295226597.6491873</v>
      </c>
      <c r="K101" s="11"/>
      <c r="M101" s="13">
        <f t="shared" si="39"/>
        <v>0.11907854856207267</v>
      </c>
      <c r="N101" s="13"/>
      <c r="R101" s="2">
        <f t="shared" si="25"/>
        <v>8708709</v>
      </c>
      <c r="S101" s="2">
        <f t="shared" si="26"/>
        <v>2.9000000000000001E-2</v>
      </c>
      <c r="U101" s="2">
        <f t="shared" si="27"/>
        <v>700000</v>
      </c>
      <c r="V101" s="2">
        <f t="shared" si="28"/>
        <v>150000</v>
      </c>
    </row>
    <row r="102" spans="1:22" x14ac:dyDescent="0.65">
      <c r="A102" s="3">
        <f t="shared" si="24"/>
        <v>102</v>
      </c>
      <c r="B102" s="1">
        <v>4</v>
      </c>
      <c r="C102" s="1">
        <f>C101-0.01</f>
        <v>1.27</v>
      </c>
      <c r="D102" s="12">
        <f t="shared" si="36"/>
        <v>4050000</v>
      </c>
      <c r="E102" s="12"/>
      <c r="F102" s="12">
        <f t="shared" si="37"/>
        <v>1512204.7244094484</v>
      </c>
      <c r="G102" s="12"/>
      <c r="H102" s="12">
        <f t="shared" si="38"/>
        <v>1276665335.3544357</v>
      </c>
      <c r="I102" s="12"/>
      <c r="J102" s="11">
        <f t="shared" si="35"/>
        <v>1462690400.8480196</v>
      </c>
      <c r="K102" s="11"/>
      <c r="M102" s="13">
        <f t="shared" si="39"/>
        <v>0.12929305459197327</v>
      </c>
      <c r="N102" s="13"/>
      <c r="R102" s="2">
        <f t="shared" si="25"/>
        <v>8708709</v>
      </c>
      <c r="S102" s="2">
        <f t="shared" si="26"/>
        <v>2.9000000000000001E-2</v>
      </c>
      <c r="U102" s="2">
        <f t="shared" si="27"/>
        <v>700000</v>
      </c>
      <c r="V102" s="2">
        <f t="shared" si="28"/>
        <v>150000</v>
      </c>
    </row>
    <row r="103" spans="1:22" x14ac:dyDescent="0.65">
      <c r="A103" s="3">
        <f t="shared" si="24"/>
        <v>103</v>
      </c>
      <c r="B103" s="1">
        <v>5</v>
      </c>
      <c r="C103" s="1">
        <f>C102-0.01</f>
        <v>1.26</v>
      </c>
      <c r="D103" s="12">
        <f t="shared" si="36"/>
        <v>4050000</v>
      </c>
      <c r="E103" s="12"/>
      <c r="F103" s="12">
        <f t="shared" si="37"/>
        <v>1530952.3809523806</v>
      </c>
      <c r="G103" s="12"/>
      <c r="H103" s="12">
        <f t="shared" si="38"/>
        <v>1375041845.8370039</v>
      </c>
      <c r="I103" s="12"/>
      <c r="J103" s="11">
        <f t="shared" si="35"/>
        <v>1671529406.894881</v>
      </c>
      <c r="K103" s="11"/>
      <c r="M103" s="13">
        <f t="shared" si="39"/>
        <v>0.14277731358993218</v>
      </c>
      <c r="N103" s="13"/>
      <c r="R103" s="2">
        <f t="shared" si="25"/>
        <v>8708709</v>
      </c>
      <c r="S103" s="2">
        <f t="shared" si="26"/>
        <v>2.9000000000000001E-2</v>
      </c>
      <c r="U103" s="2">
        <f t="shared" si="27"/>
        <v>700000</v>
      </c>
      <c r="V103" s="2">
        <f t="shared" si="28"/>
        <v>150000</v>
      </c>
    </row>
    <row r="104" spans="1:22" x14ac:dyDescent="0.65">
      <c r="A104" s="3">
        <f t="shared" si="24"/>
        <v>104</v>
      </c>
      <c r="B104" s="1">
        <v>6</v>
      </c>
      <c r="C104" s="1">
        <v>1.24</v>
      </c>
      <c r="D104" s="12">
        <f t="shared" si="36"/>
        <v>4050000</v>
      </c>
      <c r="E104" s="12"/>
      <c r="F104" s="12">
        <f t="shared" si="37"/>
        <v>1569354.8387096771</v>
      </c>
      <c r="G104" s="12"/>
      <c r="H104" s="12">
        <f t="shared" si="38"/>
        <v>1600860749.4484715</v>
      </c>
      <c r="I104" s="12"/>
      <c r="J104" s="11">
        <f t="shared" si="35"/>
        <v>2312064177.2888632</v>
      </c>
      <c r="K104" s="11"/>
      <c r="M104" s="13">
        <f t="shared" si="39"/>
        <v>0.38320281279637936</v>
      </c>
      <c r="N104" s="13"/>
      <c r="R104" s="2">
        <f t="shared" si="25"/>
        <v>8708709</v>
      </c>
      <c r="S104" s="2">
        <f t="shared" si="26"/>
        <v>2.9000000000000001E-2</v>
      </c>
      <c r="U104" s="2">
        <f t="shared" si="27"/>
        <v>700000</v>
      </c>
      <c r="V104" s="2">
        <f t="shared" si="28"/>
        <v>150000</v>
      </c>
    </row>
    <row r="105" spans="1:22" x14ac:dyDescent="0.65">
      <c r="A105" s="3">
        <f t="shared" si="24"/>
        <v>105</v>
      </c>
      <c r="B105" s="1">
        <v>7</v>
      </c>
      <c r="C105" s="1">
        <f>C104-0.01</f>
        <v>1.23</v>
      </c>
      <c r="D105" s="12">
        <f t="shared" si="36"/>
        <v>4050000</v>
      </c>
      <c r="E105" s="12"/>
      <c r="F105" s="12">
        <f t="shared" si="37"/>
        <v>1589024.3902439023</v>
      </c>
      <c r="G105" s="12"/>
      <c r="H105" s="12">
        <f t="shared" si="38"/>
        <v>1730524349.3288121</v>
      </c>
      <c r="I105" s="12"/>
      <c r="J105" s="11">
        <f t="shared" si="35"/>
        <v>2873253203.8986263</v>
      </c>
      <c r="K105" s="11"/>
      <c r="M105" s="13">
        <f t="shared" si="39"/>
        <v>0.24272208017504759</v>
      </c>
      <c r="N105" s="13"/>
      <c r="R105" s="2">
        <f t="shared" si="25"/>
        <v>8708709</v>
      </c>
      <c r="S105" s="2">
        <f t="shared" si="26"/>
        <v>2.9000000000000001E-2</v>
      </c>
      <c r="U105" s="2">
        <f t="shared" si="27"/>
        <v>700000</v>
      </c>
      <c r="V105" s="2">
        <f t="shared" si="28"/>
        <v>150000</v>
      </c>
    </row>
    <row r="106" spans="1:22" x14ac:dyDescent="0.65">
      <c r="A106" s="3">
        <f t="shared" si="24"/>
        <v>106</v>
      </c>
      <c r="B106" s="1">
        <v>8</v>
      </c>
      <c r="C106" s="1">
        <f>C105-0.01</f>
        <v>1.22</v>
      </c>
      <c r="D106" s="12">
        <f t="shared" si="36"/>
        <v>4050000</v>
      </c>
      <c r="E106" s="12"/>
      <c r="F106" s="12">
        <f t="shared" si="37"/>
        <v>1609016.3934426229</v>
      </c>
      <c r="G106" s="12"/>
      <c r="H106" s="12">
        <f t="shared" si="38"/>
        <v>1873080172.5362039</v>
      </c>
      <c r="I106" s="12"/>
      <c r="J106" s="11">
        <f t="shared" si="35"/>
        <v>3948856673.8245335</v>
      </c>
      <c r="K106" s="11"/>
      <c r="M106" s="13">
        <f t="shared" si="39"/>
        <v>0.37435039434271045</v>
      </c>
      <c r="N106" s="13"/>
      <c r="R106" s="2">
        <f t="shared" si="25"/>
        <v>8708709</v>
      </c>
      <c r="S106" s="2">
        <f t="shared" si="26"/>
        <v>2.9000000000000001E-2</v>
      </c>
      <c r="U106" s="2">
        <f t="shared" si="27"/>
        <v>700000</v>
      </c>
      <c r="V106" s="2">
        <f t="shared" si="28"/>
        <v>150000</v>
      </c>
    </row>
    <row r="107" spans="1:22" x14ac:dyDescent="0.65">
      <c r="A107" s="3">
        <f t="shared" si="24"/>
        <v>107</v>
      </c>
      <c r="B107" s="1">
        <v>9</v>
      </c>
      <c r="C107" s="1">
        <f t="shared" ref="C107:C118" si="40">C106-0.01</f>
        <v>1.21</v>
      </c>
      <c r="D107" s="12">
        <f t="shared" si="36"/>
        <v>4050000</v>
      </c>
      <c r="E107" s="12"/>
      <c r="F107" s="12">
        <f t="shared" si="37"/>
        <v>1629338.8429752067</v>
      </c>
      <c r="G107" s="12"/>
      <c r="H107" s="12">
        <f t="shared" si="38"/>
        <v>2030033763.29897</v>
      </c>
      <c r="I107" s="12"/>
      <c r="J107" s="11" t="e">
        <f t="shared" si="35"/>
        <v>#NUM!</v>
      </c>
      <c r="K107" s="11"/>
      <c r="M107" s="13" t="e">
        <f t="shared" si="39"/>
        <v>#NUM!</v>
      </c>
      <c r="N107" s="13"/>
      <c r="R107" s="2">
        <f t="shared" si="25"/>
        <v>8708709</v>
      </c>
      <c r="S107" s="2">
        <f t="shared" si="26"/>
        <v>2.9000000000000001E-2</v>
      </c>
      <c r="U107" s="2">
        <f t="shared" si="27"/>
        <v>700000</v>
      </c>
      <c r="V107" s="2">
        <f t="shared" si="28"/>
        <v>150000</v>
      </c>
    </row>
    <row r="108" spans="1:22" x14ac:dyDescent="0.65">
      <c r="A108" s="3">
        <f t="shared" si="24"/>
        <v>108</v>
      </c>
      <c r="B108" s="1">
        <v>10</v>
      </c>
      <c r="C108" s="1">
        <f t="shared" si="40"/>
        <v>1.2</v>
      </c>
      <c r="D108" s="12">
        <f t="shared" si="36"/>
        <v>4050000</v>
      </c>
      <c r="E108" s="12"/>
      <c r="F108" s="12">
        <f t="shared" si="37"/>
        <v>1650000</v>
      </c>
      <c r="G108" s="12"/>
      <c r="H108" s="12">
        <f t="shared" si="38"/>
        <v>2203091849.5917063</v>
      </c>
      <c r="I108" s="12"/>
      <c r="J108" s="11" t="e">
        <f t="shared" si="35"/>
        <v>#NUM!</v>
      </c>
      <c r="K108" s="11"/>
      <c r="M108" s="13" t="e">
        <f t="shared" si="39"/>
        <v>#NUM!</v>
      </c>
      <c r="N108" s="13"/>
      <c r="R108" s="2">
        <f t="shared" si="25"/>
        <v>8708709</v>
      </c>
      <c r="S108" s="2">
        <f t="shared" si="26"/>
        <v>2.9000000000000001E-2</v>
      </c>
      <c r="U108" s="2">
        <f t="shared" si="27"/>
        <v>700000</v>
      </c>
      <c r="V108" s="2">
        <f t="shared" si="28"/>
        <v>150000</v>
      </c>
    </row>
    <row r="109" spans="1:22" x14ac:dyDescent="0.65">
      <c r="A109" s="3">
        <f t="shared" si="24"/>
        <v>109</v>
      </c>
      <c r="B109" s="1">
        <v>11</v>
      </c>
      <c r="C109" s="1">
        <f t="shared" si="40"/>
        <v>1.19</v>
      </c>
      <c r="D109" s="12">
        <f t="shared" si="36"/>
        <v>4050000</v>
      </c>
      <c r="E109" s="12"/>
      <c r="F109" s="12">
        <f t="shared" si="37"/>
        <v>1671008.4033613442</v>
      </c>
      <c r="G109" s="12"/>
      <c r="H109" s="12">
        <f t="shared" si="38"/>
        <v>2394192567.7186499</v>
      </c>
      <c r="I109" s="12"/>
      <c r="J109" s="11" t="e">
        <f t="shared" si="35"/>
        <v>#NUM!</v>
      </c>
      <c r="K109" s="11"/>
      <c r="M109" s="13" t="e">
        <f t="shared" si="39"/>
        <v>#NUM!</v>
      </c>
      <c r="N109" s="13"/>
      <c r="R109" s="2">
        <f t="shared" si="25"/>
        <v>8708709</v>
      </c>
      <c r="S109" s="2">
        <f t="shared" si="26"/>
        <v>2.9000000000000001E-2</v>
      </c>
      <c r="U109" s="2">
        <f t="shared" si="27"/>
        <v>700000</v>
      </c>
      <c r="V109" s="2">
        <f t="shared" si="28"/>
        <v>150000</v>
      </c>
    </row>
    <row r="110" spans="1:22" x14ac:dyDescent="0.65">
      <c r="A110" s="3">
        <f t="shared" si="24"/>
        <v>110</v>
      </c>
      <c r="B110" s="1">
        <v>12</v>
      </c>
      <c r="C110" s="1">
        <f t="shared" si="40"/>
        <v>1.18</v>
      </c>
      <c r="D110" s="12">
        <f t="shared" si="36"/>
        <v>4050000</v>
      </c>
      <c r="E110" s="12"/>
      <c r="F110" s="12">
        <f t="shared" si="37"/>
        <v>1692372.8813559324</v>
      </c>
      <c r="G110" s="12"/>
      <c r="H110" s="12">
        <f t="shared" si="38"/>
        <v>2605540726.5988793</v>
      </c>
      <c r="I110" s="12"/>
      <c r="J110" s="11" t="e">
        <f t="shared" si="35"/>
        <v>#NUM!</v>
      </c>
      <c r="K110" s="11"/>
      <c r="M110" s="13" t="e">
        <f t="shared" si="39"/>
        <v>#NUM!</v>
      </c>
      <c r="N110" s="13"/>
      <c r="R110" s="2">
        <f t="shared" si="25"/>
        <v>8708709</v>
      </c>
      <c r="S110" s="2">
        <f t="shared" si="26"/>
        <v>2.9000000000000001E-2</v>
      </c>
      <c r="U110" s="2">
        <f t="shared" si="27"/>
        <v>700000</v>
      </c>
      <c r="V110" s="2">
        <f t="shared" si="28"/>
        <v>150000</v>
      </c>
    </row>
    <row r="111" spans="1:22" x14ac:dyDescent="0.65">
      <c r="A111" s="3">
        <f t="shared" si="24"/>
        <v>111</v>
      </c>
      <c r="B111" s="1">
        <v>13</v>
      </c>
      <c r="C111" s="1">
        <f t="shared" si="40"/>
        <v>1.17</v>
      </c>
      <c r="D111" s="12">
        <f t="shared" si="36"/>
        <v>4050000</v>
      </c>
      <c r="E111" s="12"/>
      <c r="F111" s="12">
        <f t="shared" si="37"/>
        <v>1714102.5641025645</v>
      </c>
      <c r="G111" s="12"/>
      <c r="H111" s="12">
        <f t="shared" si="38"/>
        <v>2839649035.2715225</v>
      </c>
      <c r="I111" s="12"/>
      <c r="J111" s="11" t="e">
        <f t="shared" si="35"/>
        <v>#NUM!</v>
      </c>
      <c r="K111" s="11"/>
      <c r="M111" s="13" t="e">
        <f t="shared" si="39"/>
        <v>#NUM!</v>
      </c>
      <c r="N111" s="13"/>
      <c r="R111" s="2">
        <f t="shared" si="25"/>
        <v>8708709</v>
      </c>
      <c r="S111" s="2">
        <f t="shared" si="26"/>
        <v>2.9000000000000001E-2</v>
      </c>
      <c r="U111" s="2">
        <f t="shared" si="27"/>
        <v>700000</v>
      </c>
      <c r="V111" s="2">
        <f t="shared" si="28"/>
        <v>150000</v>
      </c>
    </row>
    <row r="112" spans="1:22" x14ac:dyDescent="0.65">
      <c r="A112" s="3">
        <f t="shared" si="24"/>
        <v>112</v>
      </c>
      <c r="B112" s="1">
        <v>14</v>
      </c>
      <c r="C112" s="1">
        <f t="shared" si="40"/>
        <v>1.1599999999999999</v>
      </c>
      <c r="D112" s="12">
        <f t="shared" si="36"/>
        <v>4050000</v>
      </c>
      <c r="E112" s="12"/>
      <c r="F112" s="12">
        <f t="shared" si="37"/>
        <v>1736206.8965517241</v>
      </c>
      <c r="G112" s="12"/>
      <c r="H112" s="12">
        <f t="shared" si="38"/>
        <v>3099386401.6784849</v>
      </c>
      <c r="I112" s="12"/>
      <c r="J112" s="11" t="e">
        <f t="shared" si="35"/>
        <v>#NUM!</v>
      </c>
      <c r="K112" s="11"/>
      <c r="M112" s="13" t="e">
        <f t="shared" si="39"/>
        <v>#NUM!</v>
      </c>
      <c r="N112" s="13"/>
      <c r="R112" s="2">
        <f t="shared" si="25"/>
        <v>8708709</v>
      </c>
      <c r="S112" s="2">
        <f t="shared" si="26"/>
        <v>2.9000000000000001E-2</v>
      </c>
      <c r="U112" s="2">
        <f t="shared" si="27"/>
        <v>700000</v>
      </c>
      <c r="V112" s="2">
        <f t="shared" si="28"/>
        <v>150000</v>
      </c>
    </row>
    <row r="113" spans="1:22" x14ac:dyDescent="0.65">
      <c r="A113" s="3">
        <f t="shared" si="24"/>
        <v>113</v>
      </c>
      <c r="B113" s="1">
        <v>15</v>
      </c>
      <c r="C113" s="1">
        <f t="shared" si="40"/>
        <v>1.1499999999999999</v>
      </c>
      <c r="D113" s="12">
        <f t="shared" si="36"/>
        <v>4050000</v>
      </c>
      <c r="E113" s="12"/>
      <c r="F113" s="12">
        <f t="shared" si="37"/>
        <v>1758695.6521739131</v>
      </c>
      <c r="G113" s="12"/>
      <c r="H113" s="12">
        <f t="shared" si="38"/>
        <v>3388034635.2764812</v>
      </c>
      <c r="I113" s="12"/>
      <c r="J113" s="11" t="e">
        <f t="shared" si="35"/>
        <v>#NUM!</v>
      </c>
      <c r="K113" s="11"/>
      <c r="M113" s="13" t="e">
        <f t="shared" si="39"/>
        <v>#NUM!</v>
      </c>
      <c r="N113" s="13"/>
      <c r="R113" s="2">
        <f t="shared" si="25"/>
        <v>8708709</v>
      </c>
      <c r="S113" s="2">
        <f t="shared" si="26"/>
        <v>2.9000000000000001E-2</v>
      </c>
      <c r="U113" s="2">
        <f t="shared" si="27"/>
        <v>700000</v>
      </c>
      <c r="V113" s="2">
        <f t="shared" si="28"/>
        <v>150000</v>
      </c>
    </row>
    <row r="114" spans="1:22" x14ac:dyDescent="0.65">
      <c r="A114" s="3">
        <f t="shared" si="24"/>
        <v>114</v>
      </c>
      <c r="B114" s="1">
        <v>16</v>
      </c>
      <c r="C114" s="1">
        <f t="shared" si="40"/>
        <v>1.1399999999999999</v>
      </c>
      <c r="D114" s="12">
        <f t="shared" si="36"/>
        <v>4050000</v>
      </c>
      <c r="E114" s="12"/>
      <c r="F114" s="12">
        <f t="shared" si="37"/>
        <v>1781578.9473684211</v>
      </c>
      <c r="G114" s="12"/>
      <c r="H114" s="12">
        <f t="shared" si="38"/>
        <v>3709355159.80404</v>
      </c>
      <c r="I114" s="12"/>
      <c r="J114" s="11" t="e">
        <f t="shared" si="35"/>
        <v>#NUM!</v>
      </c>
      <c r="K114" s="11"/>
      <c r="M114" s="13" t="e">
        <f t="shared" si="39"/>
        <v>#NUM!</v>
      </c>
      <c r="N114" s="13"/>
      <c r="R114" s="2">
        <f t="shared" si="25"/>
        <v>8708709</v>
      </c>
      <c r="S114" s="2">
        <f t="shared" si="26"/>
        <v>2.9000000000000001E-2</v>
      </c>
      <c r="U114" s="2">
        <f t="shared" si="27"/>
        <v>700000</v>
      </c>
      <c r="V114" s="2">
        <f t="shared" si="28"/>
        <v>150000</v>
      </c>
    </row>
    <row r="115" spans="1:22" x14ac:dyDescent="0.65">
      <c r="A115" s="3">
        <f t="shared" si="24"/>
        <v>115</v>
      </c>
      <c r="B115" s="1">
        <v>17</v>
      </c>
      <c r="C115" s="1">
        <f t="shared" si="40"/>
        <v>1.1299999999999999</v>
      </c>
      <c r="D115" s="12">
        <f t="shared" si="36"/>
        <v>4050000</v>
      </c>
      <c r="E115" s="12"/>
      <c r="F115" s="12">
        <f t="shared" si="37"/>
        <v>1804867.2566371681</v>
      </c>
      <c r="G115" s="12"/>
      <c r="H115" s="12">
        <f t="shared" si="38"/>
        <v>4067667677.2412906</v>
      </c>
      <c r="I115" s="12"/>
      <c r="J115" s="11" t="e">
        <f t="shared" si="35"/>
        <v>#NUM!</v>
      </c>
      <c r="K115" s="11"/>
      <c r="M115" s="13" t="e">
        <f t="shared" si="39"/>
        <v>#NUM!</v>
      </c>
      <c r="N115" s="13"/>
      <c r="R115" s="2">
        <f t="shared" si="25"/>
        <v>8708709</v>
      </c>
      <c r="S115" s="2">
        <f t="shared" si="26"/>
        <v>2.9000000000000001E-2</v>
      </c>
      <c r="U115" s="2">
        <f t="shared" si="27"/>
        <v>700000</v>
      </c>
      <c r="V115" s="2">
        <f t="shared" si="28"/>
        <v>150000</v>
      </c>
    </row>
    <row r="116" spans="1:22" x14ac:dyDescent="0.65">
      <c r="A116" s="3">
        <f t="shared" si="24"/>
        <v>116</v>
      </c>
      <c r="B116" s="1">
        <v>18</v>
      </c>
      <c r="C116" s="1">
        <f t="shared" si="40"/>
        <v>1.1199999999999999</v>
      </c>
      <c r="D116" s="12">
        <f t="shared" si="36"/>
        <v>4050000</v>
      </c>
      <c r="E116" s="12"/>
      <c r="F116" s="12">
        <f t="shared" si="37"/>
        <v>1828571.4285714286</v>
      </c>
      <c r="G116" s="12"/>
      <c r="H116" s="12">
        <f t="shared" si="38"/>
        <v>4467943134.2694206</v>
      </c>
      <c r="I116" s="12"/>
      <c r="J116" s="11" t="e">
        <f t="shared" si="35"/>
        <v>#NUM!</v>
      </c>
      <c r="K116" s="11"/>
      <c r="M116" s="13" t="e">
        <f t="shared" si="39"/>
        <v>#NUM!</v>
      </c>
      <c r="N116" s="13"/>
      <c r="R116" s="2">
        <f t="shared" si="25"/>
        <v>8708709</v>
      </c>
      <c r="S116" s="2">
        <f t="shared" si="26"/>
        <v>2.9000000000000001E-2</v>
      </c>
      <c r="U116" s="2">
        <f t="shared" si="27"/>
        <v>700000</v>
      </c>
      <c r="V116" s="2">
        <f t="shared" si="28"/>
        <v>150000</v>
      </c>
    </row>
    <row r="117" spans="1:22" x14ac:dyDescent="0.65">
      <c r="A117" s="3">
        <f t="shared" si="24"/>
        <v>117</v>
      </c>
      <c r="B117" s="1">
        <v>19</v>
      </c>
      <c r="C117" s="1">
        <f t="shared" si="40"/>
        <v>1.1099999999999999</v>
      </c>
      <c r="D117" s="12">
        <f t="shared" si="36"/>
        <v>4050000</v>
      </c>
      <c r="E117" s="12"/>
      <c r="F117" s="12">
        <f t="shared" si="37"/>
        <v>1852702.702702703</v>
      </c>
      <c r="G117" s="12"/>
      <c r="H117" s="12">
        <f t="shared" si="38"/>
        <v>4915913846.7446632</v>
      </c>
      <c r="I117" s="12"/>
      <c r="J117" s="11" t="e">
        <f t="shared" si="35"/>
        <v>#NUM!</v>
      </c>
      <c r="K117" s="11"/>
      <c r="M117" s="13" t="e">
        <f t="shared" si="39"/>
        <v>#NUM!</v>
      </c>
      <c r="N117" s="13"/>
      <c r="R117" s="2">
        <f t="shared" si="25"/>
        <v>8708709</v>
      </c>
      <c r="S117" s="2">
        <f t="shared" si="26"/>
        <v>2.9000000000000001E-2</v>
      </c>
      <c r="U117" s="2">
        <f t="shared" si="27"/>
        <v>700000</v>
      </c>
      <c r="V117" s="2">
        <f t="shared" si="28"/>
        <v>150000</v>
      </c>
    </row>
    <row r="118" spans="1:22" x14ac:dyDescent="0.65">
      <c r="A118" s="3">
        <f t="shared" si="24"/>
        <v>118</v>
      </c>
      <c r="B118" s="1">
        <v>20</v>
      </c>
      <c r="C118" s="1">
        <f t="shared" si="40"/>
        <v>1.0999999999999999</v>
      </c>
      <c r="D118" s="12">
        <f t="shared" si="36"/>
        <v>4050000</v>
      </c>
      <c r="E118" s="12"/>
      <c r="F118" s="12">
        <f t="shared" si="37"/>
        <v>1877272.7272727275</v>
      </c>
      <c r="G118" s="12"/>
      <c r="H118" s="12">
        <f t="shared" si="38"/>
        <v>5418204259.0290022</v>
      </c>
      <c r="I118" s="12"/>
      <c r="J118" s="11" t="e">
        <f t="shared" si="35"/>
        <v>#NUM!</v>
      </c>
      <c r="K118" s="11"/>
      <c r="M118" s="13" t="e">
        <f t="shared" si="39"/>
        <v>#NUM!</v>
      </c>
      <c r="N118" s="13"/>
      <c r="R118" s="2">
        <f t="shared" si="25"/>
        <v>8708709</v>
      </c>
      <c r="S118" s="2">
        <f t="shared" si="26"/>
        <v>2.9000000000000001E-2</v>
      </c>
      <c r="U118" s="2">
        <f t="shared" si="27"/>
        <v>700000</v>
      </c>
      <c r="V118" s="2">
        <f t="shared" si="28"/>
        <v>150000</v>
      </c>
    </row>
    <row r="119" spans="1:22" x14ac:dyDescent="0.65">
      <c r="A119" s="3">
        <f t="shared" si="24"/>
        <v>119</v>
      </c>
      <c r="R119" s="2">
        <f t="shared" si="25"/>
        <v>8708709</v>
      </c>
      <c r="S119" s="2">
        <f t="shared" si="26"/>
        <v>2.9000000000000001E-2</v>
      </c>
      <c r="U119" s="2">
        <f t="shared" si="27"/>
        <v>700000</v>
      </c>
      <c r="V119" s="2">
        <f t="shared" si="28"/>
        <v>150000</v>
      </c>
    </row>
    <row r="120" spans="1:22" x14ac:dyDescent="0.65">
      <c r="A120" s="3">
        <f t="shared" si="24"/>
        <v>120</v>
      </c>
      <c r="R120" s="2">
        <f t="shared" si="25"/>
        <v>8708709</v>
      </c>
      <c r="S120" s="2">
        <f t="shared" si="26"/>
        <v>2.9000000000000001E-2</v>
      </c>
      <c r="U120" s="2">
        <f t="shared" si="27"/>
        <v>700000</v>
      </c>
      <c r="V120" s="2">
        <f t="shared" si="28"/>
        <v>150000</v>
      </c>
    </row>
    <row r="121" spans="1:22" ht="23.65" thickBot="1" x14ac:dyDescent="0.7">
      <c r="A121" s="3">
        <f t="shared" si="24"/>
        <v>121</v>
      </c>
      <c r="B121" s="1" t="s">
        <v>4</v>
      </c>
      <c r="C121" s="1" t="s">
        <v>5</v>
      </c>
      <c r="D121" s="12" t="s">
        <v>6</v>
      </c>
      <c r="E121" s="12"/>
      <c r="F121" s="12" t="s">
        <v>7</v>
      </c>
      <c r="G121" s="12"/>
      <c r="H121" s="10" t="s">
        <v>8</v>
      </c>
      <c r="I121" s="10"/>
      <c r="J121" s="10" t="s">
        <v>9</v>
      </c>
      <c r="K121" s="10"/>
      <c r="L121" s="4" t="s">
        <v>10</v>
      </c>
      <c r="R121" s="2">
        <f t="shared" si="25"/>
        <v>8708709</v>
      </c>
      <c r="S121" s="2">
        <f t="shared" si="26"/>
        <v>2.9000000000000001E-2</v>
      </c>
      <c r="U121" s="2">
        <f t="shared" si="27"/>
        <v>700000</v>
      </c>
      <c r="V121" s="2">
        <f t="shared" si="28"/>
        <v>150000</v>
      </c>
    </row>
    <row r="122" spans="1:22" ht="23.25" thickBot="1" x14ac:dyDescent="0.7">
      <c r="A122" s="3">
        <f t="shared" si="24"/>
        <v>122</v>
      </c>
      <c r="B122" s="1">
        <v>1</v>
      </c>
      <c r="C122" s="1">
        <v>1.3</v>
      </c>
      <c r="D122" s="14">
        <f>50000*(A122-7)/23+3850000</f>
        <v>4100000</v>
      </c>
      <c r="E122" s="15"/>
      <c r="F122" s="12">
        <f>D122/C122/1.35-U122-V122</f>
        <v>1486182.3361823359</v>
      </c>
      <c r="G122" s="12"/>
      <c r="H122" s="12">
        <f>(R122*EXP(F122/(R122*S122)-1)-L122)</f>
        <v>1151671029.6803482</v>
      </c>
      <c r="I122" s="12"/>
      <c r="J122" s="11">
        <f t="shared" ref="J122:J141" si="41">IF(H122&gt;=1000000000,(1-(LN(2-H122/10^9))/0.7)*10^9,H122)</f>
        <v>1234981116.7435954</v>
      </c>
      <c r="K122" s="11"/>
      <c r="M122" s="12" t="s">
        <v>11</v>
      </c>
      <c r="N122" s="12"/>
      <c r="R122" s="2">
        <f t="shared" si="25"/>
        <v>8708709</v>
      </c>
      <c r="S122" s="2">
        <f t="shared" si="26"/>
        <v>2.9000000000000001E-2</v>
      </c>
      <c r="U122" s="2">
        <f t="shared" si="27"/>
        <v>700000</v>
      </c>
      <c r="V122" s="2">
        <f t="shared" si="28"/>
        <v>150000</v>
      </c>
    </row>
    <row r="123" spans="1:22" x14ac:dyDescent="0.65">
      <c r="A123" s="3">
        <f t="shared" si="24"/>
        <v>123</v>
      </c>
      <c r="B123" s="1">
        <v>2</v>
      </c>
      <c r="C123" s="1">
        <f>C122-0.01</f>
        <v>1.29</v>
      </c>
      <c r="D123" s="12">
        <f t="shared" ref="D123:D141" si="42">D122</f>
        <v>4100000</v>
      </c>
      <c r="E123" s="12"/>
      <c r="F123" s="12">
        <f t="shared" ref="F123:F141" si="43">D123/C123/1.35-U123-V123</f>
        <v>1504292.2767728968</v>
      </c>
      <c r="G123" s="12"/>
      <c r="H123" s="12">
        <f t="shared" ref="H123:H141" si="44">(R123*EXP(F123/(R123*S123)-1)-L123)</f>
        <v>1237287603.4380903</v>
      </c>
      <c r="I123" s="12"/>
      <c r="J123" s="11">
        <f t="shared" si="41"/>
        <v>1386963223.4587708</v>
      </c>
      <c r="K123" s="11"/>
      <c r="M123" s="13">
        <f t="shared" ref="M123:M141" si="45">J123/J122-1</f>
        <v>0.12306431625118486</v>
      </c>
      <c r="N123" s="13"/>
      <c r="R123" s="2">
        <f t="shared" si="25"/>
        <v>8708709</v>
      </c>
      <c r="S123" s="2">
        <f t="shared" si="26"/>
        <v>2.9000000000000001E-2</v>
      </c>
      <c r="U123" s="2">
        <f t="shared" si="27"/>
        <v>700000</v>
      </c>
      <c r="V123" s="2">
        <f t="shared" si="28"/>
        <v>150000</v>
      </c>
    </row>
    <row r="124" spans="1:22" x14ac:dyDescent="0.65">
      <c r="A124" s="3">
        <f t="shared" si="24"/>
        <v>124</v>
      </c>
      <c r="B124" s="1">
        <v>3</v>
      </c>
      <c r="C124" s="1">
        <f>C123-0.01</f>
        <v>1.28</v>
      </c>
      <c r="D124" s="12">
        <f t="shared" si="42"/>
        <v>4100000</v>
      </c>
      <c r="E124" s="12"/>
      <c r="F124" s="12">
        <f t="shared" si="43"/>
        <v>1522685.1851851852</v>
      </c>
      <c r="G124" s="12"/>
      <c r="H124" s="12">
        <f t="shared" si="44"/>
        <v>1330759203.0310669</v>
      </c>
      <c r="I124" s="12"/>
      <c r="J124" s="11">
        <f t="shared" si="41"/>
        <v>1573730497.0524151</v>
      </c>
      <c r="K124" s="11"/>
      <c r="M124" s="13">
        <f t="shared" si="45"/>
        <v>0.13465913907067373</v>
      </c>
      <c r="N124" s="13"/>
      <c r="R124" s="2">
        <f t="shared" si="25"/>
        <v>8708709</v>
      </c>
      <c r="S124" s="2">
        <f t="shared" si="26"/>
        <v>2.9000000000000001E-2</v>
      </c>
      <c r="U124" s="2">
        <f t="shared" si="27"/>
        <v>700000</v>
      </c>
      <c r="V124" s="2">
        <f t="shared" si="28"/>
        <v>150000</v>
      </c>
    </row>
    <row r="125" spans="1:22" x14ac:dyDescent="0.65">
      <c r="A125" s="3">
        <f t="shared" si="24"/>
        <v>125</v>
      </c>
      <c r="B125" s="1">
        <v>4</v>
      </c>
      <c r="C125" s="1">
        <f>C124-0.01</f>
        <v>1.27</v>
      </c>
      <c r="D125" s="12">
        <f t="shared" si="42"/>
        <v>4100000</v>
      </c>
      <c r="E125" s="12"/>
      <c r="F125" s="12">
        <f t="shared" si="43"/>
        <v>1541367.7456984543</v>
      </c>
      <c r="G125" s="12"/>
      <c r="H125" s="12">
        <f t="shared" si="44"/>
        <v>1432934656.3177698</v>
      </c>
      <c r="I125" s="12"/>
      <c r="J125" s="11">
        <f t="shared" si="41"/>
        <v>1810401053.2929449</v>
      </c>
      <c r="K125" s="11"/>
      <c r="M125" s="13">
        <f t="shared" si="45"/>
        <v>0.15038823781061117</v>
      </c>
      <c r="N125" s="13"/>
      <c r="R125" s="2">
        <f t="shared" si="25"/>
        <v>8708709</v>
      </c>
      <c r="S125" s="2">
        <f t="shared" si="26"/>
        <v>2.9000000000000001E-2</v>
      </c>
      <c r="U125" s="2">
        <f t="shared" si="27"/>
        <v>700000</v>
      </c>
      <c r="V125" s="2">
        <f t="shared" si="28"/>
        <v>150000</v>
      </c>
    </row>
    <row r="126" spans="1:22" x14ac:dyDescent="0.65">
      <c r="A126" s="3">
        <f t="shared" si="24"/>
        <v>126</v>
      </c>
      <c r="B126" s="1">
        <v>5</v>
      </c>
      <c r="C126" s="1">
        <f>C125-0.01</f>
        <v>1.26</v>
      </c>
      <c r="D126" s="12">
        <f t="shared" si="42"/>
        <v>4100000</v>
      </c>
      <c r="E126" s="12"/>
      <c r="F126" s="12">
        <f t="shared" si="43"/>
        <v>1560346.854791299</v>
      </c>
      <c r="G126" s="12"/>
      <c r="H126" s="12">
        <f t="shared" si="44"/>
        <v>1544767932.9358232</v>
      </c>
      <c r="I126" s="12"/>
      <c r="J126" s="11">
        <f t="shared" si="41"/>
        <v>2124211360.7891705</v>
      </c>
      <c r="K126" s="11"/>
      <c r="M126" s="13">
        <f t="shared" si="45"/>
        <v>0.17333745300547343</v>
      </c>
      <c r="N126" s="13"/>
      <c r="R126" s="2">
        <f t="shared" si="25"/>
        <v>8708709</v>
      </c>
      <c r="S126" s="2">
        <f t="shared" si="26"/>
        <v>2.9000000000000001E-2</v>
      </c>
      <c r="U126" s="2">
        <f t="shared" si="27"/>
        <v>700000</v>
      </c>
      <c r="V126" s="2">
        <f t="shared" si="28"/>
        <v>150000</v>
      </c>
    </row>
    <row r="127" spans="1:22" x14ac:dyDescent="0.65">
      <c r="A127" s="3">
        <f t="shared" si="24"/>
        <v>127</v>
      </c>
      <c r="B127" s="1">
        <v>6</v>
      </c>
      <c r="C127" s="1">
        <v>1.24</v>
      </c>
      <c r="D127" s="12">
        <f t="shared" si="42"/>
        <v>4100000</v>
      </c>
      <c r="E127" s="12"/>
      <c r="F127" s="12">
        <f t="shared" si="43"/>
        <v>1599223.4169653524</v>
      </c>
      <c r="G127" s="12"/>
      <c r="H127" s="12">
        <f t="shared" si="44"/>
        <v>1801839762.7432208</v>
      </c>
      <c r="I127" s="12"/>
      <c r="J127" s="11">
        <f t="shared" si="41"/>
        <v>3312398995.0038605</v>
      </c>
      <c r="K127" s="11"/>
      <c r="M127" s="13">
        <f t="shared" si="45"/>
        <v>0.55935471212867616</v>
      </c>
      <c r="N127" s="13"/>
      <c r="R127" s="2">
        <f t="shared" si="25"/>
        <v>8708709</v>
      </c>
      <c r="S127" s="2">
        <f t="shared" si="26"/>
        <v>2.9000000000000001E-2</v>
      </c>
      <c r="U127" s="2">
        <f t="shared" si="27"/>
        <v>700000</v>
      </c>
      <c r="V127" s="2">
        <f t="shared" si="28"/>
        <v>150000</v>
      </c>
    </row>
    <row r="128" spans="1:22" x14ac:dyDescent="0.65">
      <c r="A128" s="3">
        <f t="shared" si="24"/>
        <v>128</v>
      </c>
      <c r="B128" s="1">
        <v>7</v>
      </c>
      <c r="C128" s="1">
        <f>C127-0.01</f>
        <v>1.23</v>
      </c>
      <c r="D128" s="12">
        <f t="shared" si="42"/>
        <v>4100000</v>
      </c>
      <c r="E128" s="12"/>
      <c r="F128" s="12">
        <f t="shared" si="43"/>
        <v>1619135.8024691357</v>
      </c>
      <c r="G128" s="12"/>
      <c r="H128" s="12">
        <f t="shared" si="44"/>
        <v>1949655623.3356569</v>
      </c>
      <c r="I128" s="12"/>
      <c r="J128" s="11">
        <f t="shared" si="41"/>
        <v>5269811929.9621363</v>
      </c>
      <c r="K128" s="11"/>
      <c r="M128" s="13">
        <f t="shared" si="45"/>
        <v>0.59093513127816721</v>
      </c>
      <c r="N128" s="13"/>
      <c r="R128" s="2">
        <f t="shared" si="25"/>
        <v>8708709</v>
      </c>
      <c r="S128" s="2">
        <f t="shared" si="26"/>
        <v>2.9000000000000001E-2</v>
      </c>
      <c r="U128" s="2">
        <f t="shared" si="27"/>
        <v>700000</v>
      </c>
      <c r="V128" s="2">
        <f t="shared" si="28"/>
        <v>150000</v>
      </c>
    </row>
    <row r="129" spans="1:22" x14ac:dyDescent="0.65">
      <c r="A129" s="3">
        <f t="shared" si="24"/>
        <v>129</v>
      </c>
      <c r="B129" s="1">
        <v>8</v>
      </c>
      <c r="C129" s="1">
        <f>C128-0.01</f>
        <v>1.22</v>
      </c>
      <c r="D129" s="12">
        <f t="shared" si="42"/>
        <v>4100000</v>
      </c>
      <c r="E129" s="12"/>
      <c r="F129" s="12">
        <f t="shared" si="43"/>
        <v>1639374.6205221615</v>
      </c>
      <c r="G129" s="12"/>
      <c r="H129" s="12">
        <f t="shared" si="44"/>
        <v>2112326204.7116339</v>
      </c>
      <c r="I129" s="12"/>
      <c r="J129" s="11" t="e">
        <f t="shared" si="41"/>
        <v>#NUM!</v>
      </c>
      <c r="K129" s="11"/>
      <c r="M129" s="13" t="e">
        <f t="shared" si="45"/>
        <v>#NUM!</v>
      </c>
      <c r="N129" s="13"/>
      <c r="R129" s="2">
        <f t="shared" si="25"/>
        <v>8708709</v>
      </c>
      <c r="S129" s="2">
        <f t="shared" si="26"/>
        <v>2.9000000000000001E-2</v>
      </c>
      <c r="U129" s="2">
        <f t="shared" si="27"/>
        <v>700000</v>
      </c>
      <c r="V129" s="2">
        <f t="shared" si="28"/>
        <v>150000</v>
      </c>
    </row>
    <row r="130" spans="1:22" x14ac:dyDescent="0.65">
      <c r="A130" s="3">
        <f t="shared" ref="A130:A193" si="46">A129+1</f>
        <v>130</v>
      </c>
      <c r="B130" s="1">
        <v>9</v>
      </c>
      <c r="C130" s="1">
        <f t="shared" ref="C130:C141" si="47">C129-0.01</f>
        <v>1.21</v>
      </c>
      <c r="D130" s="12">
        <f t="shared" si="42"/>
        <v>4100000</v>
      </c>
      <c r="E130" s="12"/>
      <c r="F130" s="12">
        <f t="shared" si="43"/>
        <v>1659947.964493419</v>
      </c>
      <c r="G130" s="12"/>
      <c r="H130" s="12">
        <f t="shared" si="44"/>
        <v>2291602695.1333094</v>
      </c>
      <c r="I130" s="12"/>
      <c r="J130" s="11" t="e">
        <f t="shared" si="41"/>
        <v>#NUM!</v>
      </c>
      <c r="K130" s="11"/>
      <c r="M130" s="13" t="e">
        <f t="shared" si="45"/>
        <v>#NUM!</v>
      </c>
      <c r="N130" s="13"/>
      <c r="R130" s="2">
        <f t="shared" si="25"/>
        <v>8708709</v>
      </c>
      <c r="S130" s="2">
        <f t="shared" si="26"/>
        <v>2.9000000000000001E-2</v>
      </c>
      <c r="U130" s="2">
        <f t="shared" si="27"/>
        <v>700000</v>
      </c>
      <c r="V130" s="2">
        <f t="shared" si="28"/>
        <v>150000</v>
      </c>
    </row>
    <row r="131" spans="1:22" x14ac:dyDescent="0.65">
      <c r="A131" s="3">
        <f t="shared" si="46"/>
        <v>131</v>
      </c>
      <c r="B131" s="1">
        <v>10</v>
      </c>
      <c r="C131" s="1">
        <f t="shared" si="47"/>
        <v>1.2</v>
      </c>
      <c r="D131" s="12">
        <f t="shared" si="42"/>
        <v>4100000</v>
      </c>
      <c r="E131" s="12"/>
      <c r="F131" s="12">
        <f t="shared" si="43"/>
        <v>1680864.1975308643</v>
      </c>
      <c r="G131" s="12"/>
      <c r="H131" s="12">
        <f t="shared" si="44"/>
        <v>2489472314.8252091</v>
      </c>
      <c r="I131" s="12"/>
      <c r="J131" s="11" t="e">
        <f t="shared" si="41"/>
        <v>#NUM!</v>
      </c>
      <c r="K131" s="11"/>
      <c r="M131" s="13" t="e">
        <f t="shared" si="45"/>
        <v>#NUM!</v>
      </c>
      <c r="N131" s="13"/>
      <c r="R131" s="2">
        <f t="shared" si="25"/>
        <v>8708709</v>
      </c>
      <c r="S131" s="2">
        <f t="shared" si="26"/>
        <v>2.9000000000000001E-2</v>
      </c>
      <c r="U131" s="2">
        <f t="shared" si="27"/>
        <v>700000</v>
      </c>
      <c r="V131" s="2">
        <f t="shared" si="28"/>
        <v>150000</v>
      </c>
    </row>
    <row r="132" spans="1:22" x14ac:dyDescent="0.65">
      <c r="A132" s="3">
        <f t="shared" si="46"/>
        <v>132</v>
      </c>
      <c r="B132" s="1">
        <v>11</v>
      </c>
      <c r="C132" s="1">
        <f t="shared" si="47"/>
        <v>1.19</v>
      </c>
      <c r="D132" s="12">
        <f t="shared" si="42"/>
        <v>4100000</v>
      </c>
      <c r="E132" s="12"/>
      <c r="F132" s="12">
        <f t="shared" si="43"/>
        <v>1702131.9638966699</v>
      </c>
      <c r="G132" s="12"/>
      <c r="H132" s="12">
        <f t="shared" si="44"/>
        <v>2708194060.2938552</v>
      </c>
      <c r="I132" s="12"/>
      <c r="J132" s="11" t="e">
        <f t="shared" si="41"/>
        <v>#NUM!</v>
      </c>
      <c r="K132" s="11"/>
      <c r="M132" s="13" t="e">
        <f t="shared" si="45"/>
        <v>#NUM!</v>
      </c>
      <c r="N132" s="13"/>
      <c r="R132" s="2">
        <f t="shared" si="25"/>
        <v>8708709</v>
      </c>
      <c r="S132" s="2">
        <f t="shared" si="26"/>
        <v>2.9000000000000001E-2</v>
      </c>
      <c r="U132" s="2">
        <f t="shared" si="27"/>
        <v>700000</v>
      </c>
      <c r="V132" s="2">
        <f t="shared" si="28"/>
        <v>150000</v>
      </c>
    </row>
    <row r="133" spans="1:22" x14ac:dyDescent="0.65">
      <c r="A133" s="3">
        <f t="shared" si="46"/>
        <v>133</v>
      </c>
      <c r="B133" s="1">
        <v>12</v>
      </c>
      <c r="C133" s="1">
        <f t="shared" si="47"/>
        <v>1.18</v>
      </c>
      <c r="D133" s="12">
        <f t="shared" si="42"/>
        <v>4100000</v>
      </c>
      <c r="E133" s="12"/>
      <c r="F133" s="12">
        <f t="shared" si="43"/>
        <v>1723760.2008788446</v>
      </c>
      <c r="G133" s="12"/>
      <c r="H133" s="12">
        <f t="shared" si="44"/>
        <v>2950340453.6100965</v>
      </c>
      <c r="I133" s="12"/>
      <c r="J133" s="11" t="e">
        <f t="shared" si="41"/>
        <v>#NUM!</v>
      </c>
      <c r="K133" s="11"/>
      <c r="M133" s="13" t="e">
        <f t="shared" si="45"/>
        <v>#NUM!</v>
      </c>
      <c r="N133" s="13"/>
      <c r="R133" s="2">
        <f t="shared" si="25"/>
        <v>8708709</v>
      </c>
      <c r="S133" s="2">
        <f t="shared" si="26"/>
        <v>2.9000000000000001E-2</v>
      </c>
      <c r="U133" s="2">
        <f t="shared" si="27"/>
        <v>700000</v>
      </c>
      <c r="V133" s="2">
        <f t="shared" si="28"/>
        <v>150000</v>
      </c>
    </row>
    <row r="134" spans="1:22" x14ac:dyDescent="0.65">
      <c r="A134" s="3">
        <f t="shared" si="46"/>
        <v>134</v>
      </c>
      <c r="B134" s="1">
        <v>13</v>
      </c>
      <c r="C134" s="1">
        <f t="shared" si="47"/>
        <v>1.17</v>
      </c>
      <c r="D134" s="12">
        <f t="shared" si="42"/>
        <v>4100000</v>
      </c>
      <c r="E134" s="12"/>
      <c r="F134" s="12">
        <f t="shared" si="43"/>
        <v>1745758.1513137068</v>
      </c>
      <c r="G134" s="12"/>
      <c r="H134" s="12">
        <f t="shared" si="44"/>
        <v>3218846404.9114695</v>
      </c>
      <c r="I134" s="12"/>
      <c r="J134" s="11" t="e">
        <f t="shared" si="41"/>
        <v>#NUM!</v>
      </c>
      <c r="K134" s="11"/>
      <c r="M134" s="13" t="e">
        <f t="shared" si="45"/>
        <v>#NUM!</v>
      </c>
      <c r="N134" s="13"/>
      <c r="R134" s="2">
        <f t="shared" si="25"/>
        <v>8708709</v>
      </c>
      <c r="S134" s="2">
        <f t="shared" si="26"/>
        <v>2.9000000000000001E-2</v>
      </c>
      <c r="U134" s="2">
        <f t="shared" si="27"/>
        <v>700000</v>
      </c>
      <c r="V134" s="2">
        <f t="shared" si="28"/>
        <v>150000</v>
      </c>
    </row>
    <row r="135" spans="1:22" x14ac:dyDescent="0.65">
      <c r="A135" s="3">
        <f t="shared" si="46"/>
        <v>135</v>
      </c>
      <c r="B135" s="1">
        <v>14</v>
      </c>
      <c r="C135" s="1">
        <f t="shared" si="47"/>
        <v>1.1599999999999999</v>
      </c>
      <c r="D135" s="12">
        <f t="shared" si="42"/>
        <v>4100000</v>
      </c>
      <c r="E135" s="12"/>
      <c r="F135" s="12">
        <f t="shared" si="43"/>
        <v>1768135.3767560665</v>
      </c>
      <c r="G135" s="12"/>
      <c r="H135" s="12">
        <f t="shared" si="44"/>
        <v>3517066519.3451905</v>
      </c>
      <c r="I135" s="12"/>
      <c r="J135" s="11" t="e">
        <f t="shared" si="41"/>
        <v>#NUM!</v>
      </c>
      <c r="K135" s="11"/>
      <c r="M135" s="13" t="e">
        <f t="shared" si="45"/>
        <v>#NUM!</v>
      </c>
      <c r="N135" s="13"/>
      <c r="R135" s="2">
        <f t="shared" si="25"/>
        <v>8708709</v>
      </c>
      <c r="S135" s="2">
        <f t="shared" si="26"/>
        <v>2.9000000000000001E-2</v>
      </c>
      <c r="U135" s="2">
        <f t="shared" si="27"/>
        <v>700000</v>
      </c>
      <c r="V135" s="2">
        <f t="shared" si="28"/>
        <v>150000</v>
      </c>
    </row>
    <row r="136" spans="1:22" x14ac:dyDescent="0.65">
      <c r="A136" s="3">
        <f t="shared" si="46"/>
        <v>136</v>
      </c>
      <c r="B136" s="1">
        <v>15</v>
      </c>
      <c r="C136" s="1">
        <f t="shared" si="47"/>
        <v>1.1499999999999999</v>
      </c>
      <c r="D136" s="12">
        <f t="shared" si="42"/>
        <v>4100000</v>
      </c>
      <c r="E136" s="12"/>
      <c r="F136" s="12">
        <f t="shared" si="43"/>
        <v>1790901.7713365541</v>
      </c>
      <c r="G136" s="12"/>
      <c r="H136" s="12">
        <f t="shared" si="44"/>
        <v>3848842451.226851</v>
      </c>
      <c r="I136" s="12"/>
      <c r="J136" s="11" t="e">
        <f t="shared" si="41"/>
        <v>#NUM!</v>
      </c>
      <c r="K136" s="11"/>
      <c r="M136" s="13" t="e">
        <f t="shared" si="45"/>
        <v>#NUM!</v>
      </c>
      <c r="N136" s="13"/>
      <c r="R136" s="2">
        <f t="shared" si="25"/>
        <v>8708709</v>
      </c>
      <c r="S136" s="2">
        <f t="shared" si="26"/>
        <v>2.9000000000000001E-2</v>
      </c>
      <c r="U136" s="2">
        <f t="shared" si="27"/>
        <v>700000</v>
      </c>
      <c r="V136" s="2">
        <f t="shared" si="28"/>
        <v>150000</v>
      </c>
    </row>
    <row r="137" spans="1:22" x14ac:dyDescent="0.65">
      <c r="A137" s="3">
        <f t="shared" si="46"/>
        <v>137</v>
      </c>
      <c r="B137" s="1">
        <v>16</v>
      </c>
      <c r="C137" s="1">
        <f t="shared" si="47"/>
        <v>1.1399999999999999</v>
      </c>
      <c r="D137" s="12">
        <f t="shared" si="42"/>
        <v>4100000</v>
      </c>
      <c r="E137" s="12"/>
      <c r="F137" s="12">
        <f t="shared" si="43"/>
        <v>1814067.5763482782</v>
      </c>
      <c r="G137" s="12"/>
      <c r="H137" s="12">
        <f t="shared" si="44"/>
        <v>4218582239.7448359</v>
      </c>
      <c r="I137" s="12"/>
      <c r="J137" s="11" t="e">
        <f t="shared" si="41"/>
        <v>#NUM!</v>
      </c>
      <c r="K137" s="11"/>
      <c r="M137" s="13" t="e">
        <f t="shared" si="45"/>
        <v>#NUM!</v>
      </c>
      <c r="N137" s="13"/>
      <c r="R137" s="2">
        <f t="shared" ref="R137:R200" si="48">R136</f>
        <v>8708709</v>
      </c>
      <c r="S137" s="2">
        <f t="shared" ref="S137:S200" si="49">S136</f>
        <v>2.9000000000000001E-2</v>
      </c>
      <c r="U137" s="2">
        <f t="shared" si="27"/>
        <v>700000</v>
      </c>
      <c r="V137" s="2">
        <f t="shared" si="28"/>
        <v>150000</v>
      </c>
    </row>
    <row r="138" spans="1:22" x14ac:dyDescent="0.65">
      <c r="A138" s="3">
        <f t="shared" si="46"/>
        <v>138</v>
      </c>
      <c r="B138" s="1">
        <v>17</v>
      </c>
      <c r="C138" s="1">
        <f t="shared" si="47"/>
        <v>1.1299999999999999</v>
      </c>
      <c r="D138" s="12">
        <f t="shared" si="42"/>
        <v>4100000</v>
      </c>
      <c r="E138" s="12"/>
      <c r="F138" s="12">
        <f t="shared" si="43"/>
        <v>1837643.3956079972</v>
      </c>
      <c r="G138" s="12"/>
      <c r="H138" s="12">
        <f t="shared" si="44"/>
        <v>4631353966.3831701</v>
      </c>
      <c r="I138" s="12"/>
      <c r="J138" s="11" t="e">
        <f t="shared" si="41"/>
        <v>#NUM!</v>
      </c>
      <c r="K138" s="11"/>
      <c r="M138" s="13" t="e">
        <f t="shared" si="45"/>
        <v>#NUM!</v>
      </c>
      <c r="N138" s="13"/>
      <c r="R138" s="2">
        <f t="shared" si="48"/>
        <v>8708709</v>
      </c>
      <c r="S138" s="2">
        <f t="shared" si="49"/>
        <v>2.9000000000000001E-2</v>
      </c>
      <c r="U138" s="2">
        <f t="shared" ref="U138:U201" si="50">U137</f>
        <v>700000</v>
      </c>
      <c r="V138" s="2">
        <f t="shared" ref="V138:V201" si="51">V137</f>
        <v>150000</v>
      </c>
    </row>
    <row r="139" spans="1:22" x14ac:dyDescent="0.65">
      <c r="A139" s="3">
        <f t="shared" si="46"/>
        <v>139</v>
      </c>
      <c r="B139" s="1">
        <v>18</v>
      </c>
      <c r="C139" s="1">
        <f t="shared" si="47"/>
        <v>1.1199999999999999</v>
      </c>
      <c r="D139" s="12">
        <f t="shared" si="42"/>
        <v>4100000</v>
      </c>
      <c r="E139" s="12"/>
      <c r="F139" s="12">
        <f t="shared" si="43"/>
        <v>1861640.2116402118</v>
      </c>
      <c r="G139" s="12"/>
      <c r="H139" s="12">
        <f t="shared" si="44"/>
        <v>5092996572.2994709</v>
      </c>
      <c r="I139" s="12"/>
      <c r="J139" s="11" t="e">
        <f t="shared" si="41"/>
        <v>#NUM!</v>
      </c>
      <c r="K139" s="11"/>
      <c r="M139" s="13" t="e">
        <f t="shared" si="45"/>
        <v>#NUM!</v>
      </c>
      <c r="N139" s="13"/>
      <c r="R139" s="2">
        <f t="shared" si="48"/>
        <v>8708709</v>
      </c>
      <c r="S139" s="2">
        <f t="shared" si="49"/>
        <v>2.9000000000000001E-2</v>
      </c>
      <c r="U139" s="2">
        <f t="shared" si="50"/>
        <v>700000</v>
      </c>
      <c r="V139" s="2">
        <f t="shared" si="51"/>
        <v>150000</v>
      </c>
    </row>
    <row r="140" spans="1:22" x14ac:dyDescent="0.65">
      <c r="A140" s="3">
        <f t="shared" si="46"/>
        <v>140</v>
      </c>
      <c r="B140" s="1">
        <v>19</v>
      </c>
      <c r="C140" s="1">
        <f t="shared" si="47"/>
        <v>1.1099999999999999</v>
      </c>
      <c r="D140" s="12">
        <f t="shared" si="42"/>
        <v>4100000</v>
      </c>
      <c r="E140" s="12"/>
      <c r="F140" s="12">
        <f t="shared" si="43"/>
        <v>1886069.4027360696</v>
      </c>
      <c r="G140" s="12"/>
      <c r="H140" s="12">
        <f t="shared" si="44"/>
        <v>5610251286.7597589</v>
      </c>
      <c r="I140" s="12"/>
      <c r="J140" s="11" t="e">
        <f t="shared" si="41"/>
        <v>#NUM!</v>
      </c>
      <c r="K140" s="11"/>
      <c r="M140" s="13" t="e">
        <f t="shared" si="45"/>
        <v>#NUM!</v>
      </c>
      <c r="N140" s="13"/>
      <c r="R140" s="2">
        <f t="shared" si="48"/>
        <v>8708709</v>
      </c>
      <c r="S140" s="2">
        <f t="shared" si="49"/>
        <v>2.9000000000000001E-2</v>
      </c>
      <c r="U140" s="2">
        <f t="shared" si="50"/>
        <v>700000</v>
      </c>
      <c r="V140" s="2">
        <f t="shared" si="51"/>
        <v>150000</v>
      </c>
    </row>
    <row r="141" spans="1:22" x14ac:dyDescent="0.65">
      <c r="A141" s="3">
        <f t="shared" si="46"/>
        <v>141</v>
      </c>
      <c r="B141" s="1">
        <v>20</v>
      </c>
      <c r="C141" s="1">
        <f t="shared" si="47"/>
        <v>1.0999999999999999</v>
      </c>
      <c r="D141" s="12">
        <f t="shared" si="42"/>
        <v>4100000</v>
      </c>
      <c r="E141" s="12"/>
      <c r="F141" s="12">
        <f t="shared" si="43"/>
        <v>1910942.7609427609</v>
      </c>
      <c r="G141" s="12"/>
      <c r="H141" s="12">
        <f t="shared" si="44"/>
        <v>6190917873.9093533</v>
      </c>
      <c r="I141" s="12"/>
      <c r="J141" s="11" t="e">
        <f t="shared" si="41"/>
        <v>#NUM!</v>
      </c>
      <c r="K141" s="11"/>
      <c r="M141" s="13" t="e">
        <f t="shared" si="45"/>
        <v>#NUM!</v>
      </c>
      <c r="N141" s="13"/>
      <c r="R141" s="2">
        <f t="shared" si="48"/>
        <v>8708709</v>
      </c>
      <c r="S141" s="2">
        <f t="shared" si="49"/>
        <v>2.9000000000000001E-2</v>
      </c>
      <c r="U141" s="2">
        <f t="shared" si="50"/>
        <v>700000</v>
      </c>
      <c r="V141" s="2">
        <f t="shared" si="51"/>
        <v>150000</v>
      </c>
    </row>
    <row r="142" spans="1:22" x14ac:dyDescent="0.65">
      <c r="A142" s="3">
        <f t="shared" si="46"/>
        <v>142</v>
      </c>
      <c r="R142" s="2">
        <f t="shared" si="48"/>
        <v>8708709</v>
      </c>
      <c r="S142" s="2">
        <f t="shared" si="49"/>
        <v>2.9000000000000001E-2</v>
      </c>
      <c r="U142" s="2">
        <f t="shared" si="50"/>
        <v>700000</v>
      </c>
      <c r="V142" s="2">
        <f t="shared" si="51"/>
        <v>150000</v>
      </c>
    </row>
    <row r="143" spans="1:22" x14ac:dyDescent="0.65">
      <c r="A143" s="3">
        <f t="shared" si="46"/>
        <v>143</v>
      </c>
      <c r="R143" s="2">
        <f t="shared" si="48"/>
        <v>8708709</v>
      </c>
      <c r="S143" s="2">
        <f t="shared" si="49"/>
        <v>2.9000000000000001E-2</v>
      </c>
      <c r="U143" s="2">
        <f t="shared" si="50"/>
        <v>700000</v>
      </c>
      <c r="V143" s="2">
        <f t="shared" si="51"/>
        <v>150000</v>
      </c>
    </row>
    <row r="144" spans="1:22" ht="23.65" thickBot="1" x14ac:dyDescent="0.7">
      <c r="A144" s="3">
        <f t="shared" si="46"/>
        <v>144</v>
      </c>
      <c r="B144" s="1" t="s">
        <v>4</v>
      </c>
      <c r="C144" s="1" t="s">
        <v>5</v>
      </c>
      <c r="D144" s="12" t="s">
        <v>6</v>
      </c>
      <c r="E144" s="12"/>
      <c r="F144" s="12" t="s">
        <v>7</v>
      </c>
      <c r="G144" s="12"/>
      <c r="H144" s="10" t="s">
        <v>8</v>
      </c>
      <c r="I144" s="10"/>
      <c r="J144" s="10" t="s">
        <v>9</v>
      </c>
      <c r="K144" s="10"/>
      <c r="L144" s="4" t="s">
        <v>10</v>
      </c>
      <c r="R144" s="2">
        <f t="shared" si="48"/>
        <v>8708709</v>
      </c>
      <c r="S144" s="2">
        <f t="shared" si="49"/>
        <v>2.9000000000000001E-2</v>
      </c>
      <c r="U144" s="2">
        <f t="shared" si="50"/>
        <v>700000</v>
      </c>
      <c r="V144" s="2">
        <f t="shared" si="51"/>
        <v>150000</v>
      </c>
    </row>
    <row r="145" spans="1:22" ht="23.25" thickBot="1" x14ac:dyDescent="0.7">
      <c r="A145" s="3">
        <f t="shared" si="46"/>
        <v>145</v>
      </c>
      <c r="B145" s="1">
        <v>1</v>
      </c>
      <c r="C145" s="1">
        <v>1.3</v>
      </c>
      <c r="D145" s="14">
        <f>50000*(A145-7)/23+3850000</f>
        <v>4150000</v>
      </c>
      <c r="E145" s="15"/>
      <c r="F145" s="12">
        <f>D145/C145/1.35-U145-V145</f>
        <v>1514672.3646723642</v>
      </c>
      <c r="G145" s="12"/>
      <c r="H145" s="12">
        <f>(R145*EXP(F145/(R145*S145)-1)-L145)</f>
        <v>1289200515.129823</v>
      </c>
      <c r="I145" s="12"/>
      <c r="J145" s="11">
        <f t="shared" ref="J145:J164" si="52">IF(H145&gt;=1000000000,(1-(LN(2-H145/10^9))/0.7)*10^9,H145)</f>
        <v>1487664153.4575446</v>
      </c>
      <c r="K145" s="11"/>
      <c r="M145" s="12" t="s">
        <v>11</v>
      </c>
      <c r="N145" s="12"/>
      <c r="R145" s="2">
        <f t="shared" si="48"/>
        <v>8708709</v>
      </c>
      <c r="S145" s="2">
        <f t="shared" si="49"/>
        <v>2.9000000000000001E-2</v>
      </c>
      <c r="U145" s="2">
        <f t="shared" si="50"/>
        <v>700000</v>
      </c>
      <c r="V145" s="2">
        <f t="shared" si="51"/>
        <v>150000</v>
      </c>
    </row>
    <row r="146" spans="1:22" x14ac:dyDescent="0.65">
      <c r="A146" s="3">
        <f t="shared" si="46"/>
        <v>146</v>
      </c>
      <c r="B146" s="1">
        <v>2</v>
      </c>
      <c r="C146" s="1">
        <f>C145-0.01</f>
        <v>1.29</v>
      </c>
      <c r="D146" s="12">
        <f t="shared" ref="D146:D164" si="53">D145</f>
        <v>4150000</v>
      </c>
      <c r="E146" s="12"/>
      <c r="F146" s="12">
        <f t="shared" ref="F146:F164" si="54">D146/C146/1.35-U146-V146</f>
        <v>1533003.1581969564</v>
      </c>
      <c r="G146" s="12"/>
      <c r="H146" s="12">
        <f t="shared" ref="H146:H164" si="55">(R146*EXP(F146/(R146*S146)-1)-L146)</f>
        <v>1386252916.7652037</v>
      </c>
      <c r="I146" s="12"/>
      <c r="J146" s="11">
        <f t="shared" si="52"/>
        <v>1697389074.6451859</v>
      </c>
      <c r="K146" s="11"/>
      <c r="M146" s="13">
        <f t="shared" ref="M146:M164" si="56">J146/J145-1</f>
        <v>0.14097598621315877</v>
      </c>
      <c r="N146" s="13"/>
      <c r="R146" s="2">
        <f t="shared" si="48"/>
        <v>8708709</v>
      </c>
      <c r="S146" s="2">
        <f t="shared" si="49"/>
        <v>2.9000000000000001E-2</v>
      </c>
      <c r="U146" s="2">
        <f t="shared" si="50"/>
        <v>700000</v>
      </c>
      <c r="V146" s="2">
        <f t="shared" si="51"/>
        <v>150000</v>
      </c>
    </row>
    <row r="147" spans="1:22" x14ac:dyDescent="0.65">
      <c r="A147" s="3">
        <f t="shared" si="46"/>
        <v>147</v>
      </c>
      <c r="B147" s="1">
        <v>3</v>
      </c>
      <c r="C147" s="1">
        <f>C146-0.01</f>
        <v>1.28</v>
      </c>
      <c r="D147" s="12">
        <f t="shared" si="53"/>
        <v>4150000</v>
      </c>
      <c r="E147" s="12"/>
      <c r="F147" s="12">
        <f t="shared" si="54"/>
        <v>1551620.3703703703</v>
      </c>
      <c r="G147" s="12"/>
      <c r="H147" s="12">
        <f t="shared" si="55"/>
        <v>1492302981.9417975</v>
      </c>
      <c r="I147" s="12"/>
      <c r="J147" s="11">
        <f t="shared" si="52"/>
        <v>1968386329.2553828</v>
      </c>
      <c r="K147" s="11"/>
      <c r="M147" s="13">
        <f t="shared" si="56"/>
        <v>0.15965535460209379</v>
      </c>
      <c r="N147" s="13"/>
      <c r="R147" s="2">
        <f t="shared" si="48"/>
        <v>8708709</v>
      </c>
      <c r="S147" s="2">
        <f t="shared" si="49"/>
        <v>2.9000000000000001E-2</v>
      </c>
      <c r="U147" s="2">
        <f t="shared" si="50"/>
        <v>700000</v>
      </c>
      <c r="V147" s="2">
        <f t="shared" si="51"/>
        <v>150000</v>
      </c>
    </row>
    <row r="148" spans="1:22" x14ac:dyDescent="0.65">
      <c r="A148" s="3">
        <f t="shared" si="46"/>
        <v>148</v>
      </c>
      <c r="B148" s="1">
        <v>4</v>
      </c>
      <c r="C148" s="1">
        <f>C147-0.01</f>
        <v>1.27</v>
      </c>
      <c r="D148" s="12">
        <f t="shared" si="53"/>
        <v>4150000</v>
      </c>
      <c r="E148" s="12"/>
      <c r="F148" s="12">
        <f t="shared" si="54"/>
        <v>1570530.7669874597</v>
      </c>
      <c r="G148" s="12"/>
      <c r="H148" s="12">
        <f t="shared" si="55"/>
        <v>1608332013.4218819</v>
      </c>
      <c r="I148" s="12"/>
      <c r="J148" s="11">
        <f t="shared" si="52"/>
        <v>2339058244.4156876</v>
      </c>
      <c r="K148" s="11"/>
      <c r="M148" s="13">
        <f t="shared" si="56"/>
        <v>0.18831258358745329</v>
      </c>
      <c r="N148" s="13"/>
      <c r="R148" s="2">
        <f t="shared" si="48"/>
        <v>8708709</v>
      </c>
      <c r="S148" s="2">
        <f t="shared" si="49"/>
        <v>2.9000000000000001E-2</v>
      </c>
      <c r="U148" s="2">
        <f t="shared" si="50"/>
        <v>700000</v>
      </c>
      <c r="V148" s="2">
        <f t="shared" si="51"/>
        <v>150000</v>
      </c>
    </row>
    <row r="149" spans="1:22" x14ac:dyDescent="0.65">
      <c r="A149" s="3">
        <f t="shared" si="46"/>
        <v>149</v>
      </c>
      <c r="B149" s="1">
        <v>5</v>
      </c>
      <c r="C149" s="1">
        <f>C148-0.01</f>
        <v>1.26</v>
      </c>
      <c r="D149" s="12">
        <f t="shared" si="53"/>
        <v>4150000</v>
      </c>
      <c r="E149" s="12"/>
      <c r="F149" s="12">
        <f t="shared" si="54"/>
        <v>1589741.3286302174</v>
      </c>
      <c r="G149" s="12"/>
      <c r="H149" s="12">
        <f t="shared" si="55"/>
        <v>1735443887.6543739</v>
      </c>
      <c r="I149" s="12"/>
      <c r="J149" s="11">
        <f t="shared" si="52"/>
        <v>2899574150.2990484</v>
      </c>
      <c r="K149" s="11"/>
      <c r="M149" s="13">
        <f t="shared" si="56"/>
        <v>0.23963315459183088</v>
      </c>
      <c r="N149" s="13"/>
      <c r="R149" s="2">
        <f t="shared" si="48"/>
        <v>8708709</v>
      </c>
      <c r="S149" s="2">
        <f t="shared" si="49"/>
        <v>2.9000000000000001E-2</v>
      </c>
      <c r="U149" s="2">
        <f t="shared" si="50"/>
        <v>700000</v>
      </c>
      <c r="V149" s="2">
        <f t="shared" si="51"/>
        <v>150000</v>
      </c>
    </row>
    <row r="150" spans="1:22" x14ac:dyDescent="0.65">
      <c r="A150" s="3">
        <f t="shared" si="46"/>
        <v>150</v>
      </c>
      <c r="B150" s="1">
        <v>6</v>
      </c>
      <c r="C150" s="1">
        <v>1.24</v>
      </c>
      <c r="D150" s="12">
        <f t="shared" si="53"/>
        <v>4150000</v>
      </c>
      <c r="E150" s="12"/>
      <c r="F150" s="12">
        <f t="shared" si="54"/>
        <v>1629091.9952210272</v>
      </c>
      <c r="G150" s="12"/>
      <c r="H150" s="12">
        <f t="shared" si="55"/>
        <v>2028050554.503926</v>
      </c>
      <c r="I150" s="12"/>
      <c r="J150" s="11" t="e">
        <f t="shared" si="52"/>
        <v>#NUM!</v>
      </c>
      <c r="K150" s="11"/>
      <c r="M150" s="13" t="e">
        <f t="shared" si="56"/>
        <v>#NUM!</v>
      </c>
      <c r="N150" s="13"/>
      <c r="R150" s="2">
        <f t="shared" si="48"/>
        <v>8708709</v>
      </c>
      <c r="S150" s="2">
        <f t="shared" si="49"/>
        <v>2.9000000000000001E-2</v>
      </c>
      <c r="U150" s="2">
        <f t="shared" si="50"/>
        <v>700000</v>
      </c>
      <c r="V150" s="2">
        <f t="shared" si="51"/>
        <v>150000</v>
      </c>
    </row>
    <row r="151" spans="1:22" x14ac:dyDescent="0.65">
      <c r="A151" s="3">
        <f t="shared" si="46"/>
        <v>151</v>
      </c>
      <c r="B151" s="1">
        <v>7</v>
      </c>
      <c r="C151" s="1">
        <f>C150-0.01</f>
        <v>1.23</v>
      </c>
      <c r="D151" s="12">
        <f t="shared" si="53"/>
        <v>4150000</v>
      </c>
      <c r="E151" s="12"/>
      <c r="F151" s="12">
        <f t="shared" si="54"/>
        <v>1649247.2146943691</v>
      </c>
      <c r="G151" s="12"/>
      <c r="H151" s="12">
        <f t="shared" si="55"/>
        <v>2196534854.3513045</v>
      </c>
      <c r="I151" s="12"/>
      <c r="J151" s="11" t="e">
        <f t="shared" si="52"/>
        <v>#NUM!</v>
      </c>
      <c r="K151" s="11"/>
      <c r="M151" s="13" t="e">
        <f t="shared" si="56"/>
        <v>#NUM!</v>
      </c>
      <c r="N151" s="13"/>
      <c r="R151" s="2">
        <f t="shared" si="48"/>
        <v>8708709</v>
      </c>
      <c r="S151" s="2">
        <f t="shared" si="49"/>
        <v>2.9000000000000001E-2</v>
      </c>
      <c r="U151" s="2">
        <f t="shared" si="50"/>
        <v>700000</v>
      </c>
      <c r="V151" s="2">
        <f t="shared" si="51"/>
        <v>150000</v>
      </c>
    </row>
    <row r="152" spans="1:22" x14ac:dyDescent="0.65">
      <c r="A152" s="3">
        <f t="shared" si="46"/>
        <v>152</v>
      </c>
      <c r="B152" s="1">
        <v>8</v>
      </c>
      <c r="C152" s="1">
        <f>C151-0.01</f>
        <v>1.22</v>
      </c>
      <c r="D152" s="12">
        <f t="shared" si="53"/>
        <v>4150000</v>
      </c>
      <c r="E152" s="12"/>
      <c r="F152" s="12">
        <f t="shared" si="54"/>
        <v>1669732.8476016996</v>
      </c>
      <c r="G152" s="12"/>
      <c r="H152" s="12">
        <f t="shared" si="55"/>
        <v>2382130813.4770751</v>
      </c>
      <c r="I152" s="12"/>
      <c r="J152" s="11" t="e">
        <f t="shared" si="52"/>
        <v>#NUM!</v>
      </c>
      <c r="K152" s="11"/>
      <c r="M152" s="13" t="e">
        <f t="shared" si="56"/>
        <v>#NUM!</v>
      </c>
      <c r="N152" s="13"/>
      <c r="R152" s="2">
        <f t="shared" si="48"/>
        <v>8708709</v>
      </c>
      <c r="S152" s="2">
        <f t="shared" si="49"/>
        <v>2.9000000000000001E-2</v>
      </c>
      <c r="U152" s="2">
        <f t="shared" si="50"/>
        <v>700000</v>
      </c>
      <c r="V152" s="2">
        <f t="shared" si="51"/>
        <v>150000</v>
      </c>
    </row>
    <row r="153" spans="1:22" x14ac:dyDescent="0.65">
      <c r="A153" s="3">
        <f t="shared" si="46"/>
        <v>153</v>
      </c>
      <c r="B153" s="1">
        <v>9</v>
      </c>
      <c r="C153" s="1">
        <f t="shared" ref="C153:C164" si="57">C152-0.01</f>
        <v>1.21</v>
      </c>
      <c r="D153" s="12">
        <f t="shared" si="53"/>
        <v>4150000</v>
      </c>
      <c r="E153" s="12"/>
      <c r="F153" s="12">
        <f t="shared" si="54"/>
        <v>1690557.0860116314</v>
      </c>
      <c r="G153" s="12"/>
      <c r="H153" s="12">
        <f t="shared" si="55"/>
        <v>2586874665.4775953</v>
      </c>
      <c r="I153" s="12"/>
      <c r="J153" s="11" t="e">
        <f t="shared" si="52"/>
        <v>#NUM!</v>
      </c>
      <c r="K153" s="11"/>
      <c r="M153" s="13" t="e">
        <f t="shared" si="56"/>
        <v>#NUM!</v>
      </c>
      <c r="N153" s="13"/>
      <c r="R153" s="2">
        <f t="shared" si="48"/>
        <v>8708709</v>
      </c>
      <c r="S153" s="2">
        <f t="shared" si="49"/>
        <v>2.9000000000000001E-2</v>
      </c>
      <c r="U153" s="2">
        <f t="shared" si="50"/>
        <v>700000</v>
      </c>
      <c r="V153" s="2">
        <f t="shared" si="51"/>
        <v>150000</v>
      </c>
    </row>
    <row r="154" spans="1:22" x14ac:dyDescent="0.65">
      <c r="A154" s="3">
        <f t="shared" si="46"/>
        <v>154</v>
      </c>
      <c r="B154" s="1">
        <v>10</v>
      </c>
      <c r="C154" s="1">
        <f t="shared" si="57"/>
        <v>1.2</v>
      </c>
      <c r="D154" s="12">
        <f t="shared" si="53"/>
        <v>4150000</v>
      </c>
      <c r="E154" s="12"/>
      <c r="F154" s="12">
        <f t="shared" si="54"/>
        <v>1711728.3950617285</v>
      </c>
      <c r="G154" s="12"/>
      <c r="H154" s="12">
        <f t="shared" si="55"/>
        <v>2813079448.9706593</v>
      </c>
      <c r="I154" s="12"/>
      <c r="J154" s="11" t="e">
        <f t="shared" si="52"/>
        <v>#NUM!</v>
      </c>
      <c r="K154" s="11"/>
      <c r="M154" s="13" t="e">
        <f t="shared" si="56"/>
        <v>#NUM!</v>
      </c>
      <c r="N154" s="13"/>
      <c r="R154" s="2">
        <f t="shared" si="48"/>
        <v>8708709</v>
      </c>
      <c r="S154" s="2">
        <f t="shared" si="49"/>
        <v>2.9000000000000001E-2</v>
      </c>
      <c r="U154" s="2">
        <f t="shared" si="50"/>
        <v>700000</v>
      </c>
      <c r="V154" s="2">
        <f t="shared" si="51"/>
        <v>150000</v>
      </c>
    </row>
    <row r="155" spans="1:22" x14ac:dyDescent="0.65">
      <c r="A155" s="3">
        <f t="shared" si="46"/>
        <v>155</v>
      </c>
      <c r="B155" s="1">
        <v>11</v>
      </c>
      <c r="C155" s="1">
        <f t="shared" si="57"/>
        <v>1.19</v>
      </c>
      <c r="D155" s="12">
        <f t="shared" si="53"/>
        <v>4150000</v>
      </c>
      <c r="E155" s="12"/>
      <c r="F155" s="12">
        <f t="shared" si="54"/>
        <v>1733255.5244319951</v>
      </c>
      <c r="G155" s="12"/>
      <c r="H155" s="12">
        <f t="shared" si="55"/>
        <v>3063377260.083776</v>
      </c>
      <c r="I155" s="12"/>
      <c r="J155" s="11" t="e">
        <f t="shared" si="52"/>
        <v>#NUM!</v>
      </c>
      <c r="K155" s="11"/>
      <c r="M155" s="13" t="e">
        <f t="shared" si="56"/>
        <v>#NUM!</v>
      </c>
      <c r="N155" s="13"/>
      <c r="R155" s="2">
        <f t="shared" si="48"/>
        <v>8708709</v>
      </c>
      <c r="S155" s="2">
        <f t="shared" si="49"/>
        <v>2.9000000000000001E-2</v>
      </c>
      <c r="U155" s="2">
        <f t="shared" si="50"/>
        <v>700000</v>
      </c>
      <c r="V155" s="2">
        <f t="shared" si="51"/>
        <v>150000</v>
      </c>
    </row>
    <row r="156" spans="1:22" x14ac:dyDescent="0.65">
      <c r="A156" s="3">
        <f t="shared" si="46"/>
        <v>156</v>
      </c>
      <c r="B156" s="1">
        <v>12</v>
      </c>
      <c r="C156" s="1">
        <f t="shared" si="57"/>
        <v>1.18</v>
      </c>
      <c r="D156" s="12">
        <f t="shared" si="53"/>
        <v>4150000</v>
      </c>
      <c r="E156" s="12"/>
      <c r="F156" s="12">
        <f t="shared" si="54"/>
        <v>1755147.5204017577</v>
      </c>
      <c r="G156" s="12"/>
      <c r="H156" s="12">
        <f t="shared" si="55"/>
        <v>3340768656.3282495</v>
      </c>
      <c r="I156" s="12"/>
      <c r="J156" s="11" t="e">
        <f t="shared" si="52"/>
        <v>#NUM!</v>
      </c>
      <c r="K156" s="11"/>
      <c r="M156" s="13" t="e">
        <f t="shared" si="56"/>
        <v>#NUM!</v>
      </c>
      <c r="N156" s="13"/>
      <c r="R156" s="2">
        <f t="shared" si="48"/>
        <v>8708709</v>
      </c>
      <c r="S156" s="2">
        <f t="shared" si="49"/>
        <v>2.9000000000000001E-2</v>
      </c>
      <c r="U156" s="2">
        <f t="shared" si="50"/>
        <v>700000</v>
      </c>
      <c r="V156" s="2">
        <f t="shared" si="51"/>
        <v>150000</v>
      </c>
    </row>
    <row r="157" spans="1:22" x14ac:dyDescent="0.65">
      <c r="A157" s="3">
        <f t="shared" si="46"/>
        <v>157</v>
      </c>
      <c r="B157" s="1">
        <v>13</v>
      </c>
      <c r="C157" s="1">
        <f t="shared" si="57"/>
        <v>1.17</v>
      </c>
      <c r="D157" s="12">
        <f t="shared" si="53"/>
        <v>4150000</v>
      </c>
      <c r="E157" s="12"/>
      <c r="F157" s="12">
        <f t="shared" si="54"/>
        <v>1777413.7385248495</v>
      </c>
      <c r="G157" s="12"/>
      <c r="H157" s="12">
        <f t="shared" si="55"/>
        <v>3648680541.0517263</v>
      </c>
      <c r="I157" s="12"/>
      <c r="J157" s="11" t="e">
        <f t="shared" si="52"/>
        <v>#NUM!</v>
      </c>
      <c r="K157" s="11"/>
      <c r="M157" s="13" t="e">
        <f t="shared" si="56"/>
        <v>#NUM!</v>
      </c>
      <c r="N157" s="13"/>
      <c r="R157" s="2">
        <f t="shared" si="48"/>
        <v>8708709</v>
      </c>
      <c r="S157" s="2">
        <f t="shared" si="49"/>
        <v>2.9000000000000001E-2</v>
      </c>
      <c r="U157" s="2">
        <f t="shared" si="50"/>
        <v>700000</v>
      </c>
      <c r="V157" s="2">
        <f t="shared" si="51"/>
        <v>150000</v>
      </c>
    </row>
    <row r="158" spans="1:22" x14ac:dyDescent="0.65">
      <c r="A158" s="3">
        <f t="shared" si="46"/>
        <v>158</v>
      </c>
      <c r="B158" s="1">
        <v>14</v>
      </c>
      <c r="C158" s="1">
        <f t="shared" si="57"/>
        <v>1.1599999999999999</v>
      </c>
      <c r="D158" s="12">
        <f t="shared" si="53"/>
        <v>4150000</v>
      </c>
      <c r="E158" s="12"/>
      <c r="F158" s="12">
        <f t="shared" si="54"/>
        <v>1800063.8569604089</v>
      </c>
      <c r="G158" s="12"/>
      <c r="H158" s="12">
        <f t="shared" si="55"/>
        <v>3991034126.883954</v>
      </c>
      <c r="I158" s="12"/>
      <c r="J158" s="11" t="e">
        <f t="shared" si="52"/>
        <v>#NUM!</v>
      </c>
      <c r="K158" s="11"/>
      <c r="M158" s="13" t="e">
        <f t="shared" si="56"/>
        <v>#NUM!</v>
      </c>
      <c r="N158" s="13"/>
      <c r="R158" s="2">
        <f t="shared" si="48"/>
        <v>8708709</v>
      </c>
      <c r="S158" s="2">
        <f t="shared" si="49"/>
        <v>2.9000000000000001E-2</v>
      </c>
      <c r="U158" s="2">
        <f t="shared" si="50"/>
        <v>700000</v>
      </c>
      <c r="V158" s="2">
        <f t="shared" si="51"/>
        <v>150000</v>
      </c>
    </row>
    <row r="159" spans="1:22" x14ac:dyDescent="0.65">
      <c r="A159" s="3">
        <f t="shared" si="46"/>
        <v>159</v>
      </c>
      <c r="B159" s="1">
        <v>15</v>
      </c>
      <c r="C159" s="1">
        <f t="shared" si="57"/>
        <v>1.1499999999999999</v>
      </c>
      <c r="D159" s="12">
        <f t="shared" si="53"/>
        <v>4150000</v>
      </c>
      <c r="E159" s="12"/>
      <c r="F159" s="12">
        <f t="shared" si="54"/>
        <v>1823107.8904991951</v>
      </c>
      <c r="G159" s="12"/>
      <c r="H159" s="12">
        <f t="shared" si="55"/>
        <v>4372324904.8653984</v>
      </c>
      <c r="I159" s="12"/>
      <c r="J159" s="11" t="e">
        <f t="shared" si="52"/>
        <v>#NUM!</v>
      </c>
      <c r="K159" s="11"/>
      <c r="M159" s="13" t="e">
        <f t="shared" si="56"/>
        <v>#NUM!</v>
      </c>
      <c r="N159" s="13"/>
      <c r="R159" s="2">
        <f t="shared" si="48"/>
        <v>8708709</v>
      </c>
      <c r="S159" s="2">
        <f t="shared" si="49"/>
        <v>2.9000000000000001E-2</v>
      </c>
      <c r="U159" s="2">
        <f t="shared" si="50"/>
        <v>700000</v>
      </c>
      <c r="V159" s="2">
        <f t="shared" si="51"/>
        <v>150000</v>
      </c>
    </row>
    <row r="160" spans="1:22" x14ac:dyDescent="0.65">
      <c r="A160" s="3">
        <f t="shared" si="46"/>
        <v>160</v>
      </c>
      <c r="B160" s="1">
        <v>16</v>
      </c>
      <c r="C160" s="1">
        <f t="shared" si="57"/>
        <v>1.1399999999999999</v>
      </c>
      <c r="D160" s="12">
        <f t="shared" si="53"/>
        <v>4150000</v>
      </c>
      <c r="E160" s="12"/>
      <c r="F160" s="12">
        <f t="shared" si="54"/>
        <v>1846556.2053281353</v>
      </c>
      <c r="G160" s="12"/>
      <c r="H160" s="12">
        <f t="shared" si="55"/>
        <v>4797716947.2309847</v>
      </c>
      <c r="I160" s="12"/>
      <c r="J160" s="11" t="e">
        <f t="shared" si="52"/>
        <v>#NUM!</v>
      </c>
      <c r="K160" s="11"/>
      <c r="M160" s="13" t="e">
        <f t="shared" si="56"/>
        <v>#NUM!</v>
      </c>
      <c r="N160" s="13"/>
      <c r="R160" s="2">
        <f t="shared" si="48"/>
        <v>8708709</v>
      </c>
      <c r="S160" s="2">
        <f t="shared" si="49"/>
        <v>2.9000000000000001E-2</v>
      </c>
      <c r="U160" s="2">
        <f t="shared" si="50"/>
        <v>700000</v>
      </c>
      <c r="V160" s="2">
        <f t="shared" si="51"/>
        <v>150000</v>
      </c>
    </row>
    <row r="161" spans="1:22" x14ac:dyDescent="0.65">
      <c r="A161" s="3">
        <f t="shared" si="46"/>
        <v>161</v>
      </c>
      <c r="B161" s="1">
        <v>17</v>
      </c>
      <c r="C161" s="1">
        <f t="shared" si="57"/>
        <v>1.1299999999999999</v>
      </c>
      <c r="D161" s="12">
        <f t="shared" si="53"/>
        <v>4150000</v>
      </c>
      <c r="E161" s="12"/>
      <c r="F161" s="12">
        <f t="shared" si="54"/>
        <v>1870419.5345788267</v>
      </c>
      <c r="G161" s="12"/>
      <c r="H161" s="12">
        <f t="shared" si="55"/>
        <v>5273154363.6033421</v>
      </c>
      <c r="I161" s="12"/>
      <c r="J161" s="11" t="e">
        <f t="shared" si="52"/>
        <v>#NUM!</v>
      </c>
      <c r="K161" s="11"/>
      <c r="M161" s="13" t="e">
        <f t="shared" si="56"/>
        <v>#NUM!</v>
      </c>
      <c r="N161" s="13"/>
      <c r="R161" s="2">
        <f t="shared" si="48"/>
        <v>8708709</v>
      </c>
      <c r="S161" s="2">
        <f t="shared" si="49"/>
        <v>2.9000000000000001E-2</v>
      </c>
      <c r="U161" s="2">
        <f t="shared" si="50"/>
        <v>700000</v>
      </c>
      <c r="V161" s="2">
        <f t="shared" si="51"/>
        <v>150000</v>
      </c>
    </row>
    <row r="162" spans="1:22" x14ac:dyDescent="0.65">
      <c r="A162" s="3">
        <f t="shared" si="46"/>
        <v>162</v>
      </c>
      <c r="B162" s="1">
        <v>18</v>
      </c>
      <c r="C162" s="1">
        <f t="shared" si="57"/>
        <v>1.1199999999999999</v>
      </c>
      <c r="D162" s="12">
        <f t="shared" si="53"/>
        <v>4150000</v>
      </c>
      <c r="E162" s="12"/>
      <c r="F162" s="12">
        <f t="shared" si="54"/>
        <v>1894708.9947089949</v>
      </c>
      <c r="G162" s="12"/>
      <c r="H162" s="12">
        <f t="shared" si="55"/>
        <v>5805493334.6181755</v>
      </c>
      <c r="I162" s="12"/>
      <c r="J162" s="11" t="e">
        <f t="shared" si="52"/>
        <v>#NUM!</v>
      </c>
      <c r="K162" s="11"/>
      <c r="M162" s="13" t="e">
        <f t="shared" si="56"/>
        <v>#NUM!</v>
      </c>
      <c r="N162" s="13"/>
      <c r="R162" s="2">
        <f t="shared" si="48"/>
        <v>8708709</v>
      </c>
      <c r="S162" s="2">
        <f t="shared" si="49"/>
        <v>2.9000000000000001E-2</v>
      </c>
      <c r="U162" s="2">
        <f t="shared" si="50"/>
        <v>700000</v>
      </c>
      <c r="V162" s="2">
        <f t="shared" si="51"/>
        <v>150000</v>
      </c>
    </row>
    <row r="163" spans="1:22" x14ac:dyDescent="0.65">
      <c r="A163" s="3">
        <f t="shared" si="46"/>
        <v>163</v>
      </c>
      <c r="B163" s="1">
        <v>19</v>
      </c>
      <c r="C163" s="1">
        <f t="shared" si="57"/>
        <v>1.1099999999999999</v>
      </c>
      <c r="D163" s="12">
        <f t="shared" si="53"/>
        <v>4150000</v>
      </c>
      <c r="E163" s="12"/>
      <c r="F163" s="12">
        <f t="shared" si="54"/>
        <v>1919436.1027694358</v>
      </c>
      <c r="G163" s="12"/>
      <c r="H163" s="12">
        <f t="shared" si="55"/>
        <v>6402658891.4759541</v>
      </c>
      <c r="I163" s="12"/>
      <c r="J163" s="11" t="e">
        <f t="shared" si="52"/>
        <v>#NUM!</v>
      </c>
      <c r="K163" s="11"/>
      <c r="M163" s="13" t="e">
        <f t="shared" si="56"/>
        <v>#NUM!</v>
      </c>
      <c r="N163" s="13"/>
      <c r="R163" s="2">
        <f t="shared" si="48"/>
        <v>8708709</v>
      </c>
      <c r="S163" s="2">
        <f t="shared" si="49"/>
        <v>2.9000000000000001E-2</v>
      </c>
      <c r="U163" s="2">
        <f t="shared" si="50"/>
        <v>700000</v>
      </c>
      <c r="V163" s="2">
        <f t="shared" si="51"/>
        <v>150000</v>
      </c>
    </row>
    <row r="164" spans="1:22" x14ac:dyDescent="0.65">
      <c r="A164" s="3">
        <f t="shared" si="46"/>
        <v>164</v>
      </c>
      <c r="B164" s="1">
        <v>20</v>
      </c>
      <c r="C164" s="1">
        <f t="shared" si="57"/>
        <v>1.0999999999999999</v>
      </c>
      <c r="D164" s="12">
        <f t="shared" si="53"/>
        <v>4150000</v>
      </c>
      <c r="E164" s="12"/>
      <c r="F164" s="12">
        <f t="shared" si="54"/>
        <v>1944612.7946127951</v>
      </c>
      <c r="G164" s="12"/>
      <c r="H164" s="12">
        <f t="shared" si="55"/>
        <v>7073831529.6291761</v>
      </c>
      <c r="I164" s="12"/>
      <c r="J164" s="11" t="e">
        <f t="shared" si="52"/>
        <v>#NUM!</v>
      </c>
      <c r="K164" s="11"/>
      <c r="M164" s="13" t="e">
        <f t="shared" si="56"/>
        <v>#NUM!</v>
      </c>
      <c r="N164" s="13"/>
      <c r="R164" s="2">
        <f t="shared" si="48"/>
        <v>8708709</v>
      </c>
      <c r="S164" s="2">
        <f t="shared" si="49"/>
        <v>2.9000000000000001E-2</v>
      </c>
      <c r="U164" s="2">
        <f t="shared" si="50"/>
        <v>700000</v>
      </c>
      <c r="V164" s="2">
        <f t="shared" si="51"/>
        <v>150000</v>
      </c>
    </row>
    <row r="165" spans="1:22" x14ac:dyDescent="0.65">
      <c r="A165" s="3">
        <f t="shared" si="46"/>
        <v>165</v>
      </c>
      <c r="R165" s="2">
        <f t="shared" si="48"/>
        <v>8708709</v>
      </c>
      <c r="S165" s="2">
        <f t="shared" si="49"/>
        <v>2.9000000000000001E-2</v>
      </c>
      <c r="U165" s="2">
        <f t="shared" si="50"/>
        <v>700000</v>
      </c>
      <c r="V165" s="2">
        <f t="shared" si="51"/>
        <v>150000</v>
      </c>
    </row>
    <row r="166" spans="1:22" x14ac:dyDescent="0.65">
      <c r="A166" s="3">
        <f t="shared" si="46"/>
        <v>166</v>
      </c>
      <c r="R166" s="2">
        <f t="shared" si="48"/>
        <v>8708709</v>
      </c>
      <c r="S166" s="2">
        <f t="shared" si="49"/>
        <v>2.9000000000000001E-2</v>
      </c>
      <c r="U166" s="2">
        <f t="shared" si="50"/>
        <v>700000</v>
      </c>
      <c r="V166" s="2">
        <f t="shared" si="51"/>
        <v>150000</v>
      </c>
    </row>
    <row r="167" spans="1:22" ht="23.65" thickBot="1" x14ac:dyDescent="0.7">
      <c r="A167" s="3">
        <f t="shared" si="46"/>
        <v>167</v>
      </c>
      <c r="B167" s="1" t="s">
        <v>4</v>
      </c>
      <c r="C167" s="1" t="s">
        <v>5</v>
      </c>
      <c r="D167" s="12" t="s">
        <v>6</v>
      </c>
      <c r="E167" s="12"/>
      <c r="F167" s="12" t="s">
        <v>7</v>
      </c>
      <c r="G167" s="12"/>
      <c r="H167" s="10" t="s">
        <v>8</v>
      </c>
      <c r="I167" s="10"/>
      <c r="J167" s="10" t="s">
        <v>9</v>
      </c>
      <c r="K167" s="10"/>
      <c r="L167" s="4" t="s">
        <v>10</v>
      </c>
      <c r="R167" s="2">
        <f t="shared" si="48"/>
        <v>8708709</v>
      </c>
      <c r="S167" s="2">
        <f t="shared" si="49"/>
        <v>2.9000000000000001E-2</v>
      </c>
      <c r="U167" s="2">
        <f t="shared" si="50"/>
        <v>700000</v>
      </c>
      <c r="V167" s="2">
        <f t="shared" si="51"/>
        <v>150000</v>
      </c>
    </row>
    <row r="168" spans="1:22" ht="23.25" thickBot="1" x14ac:dyDescent="0.7">
      <c r="A168" s="3">
        <f t="shared" si="46"/>
        <v>168</v>
      </c>
      <c r="B168" s="1">
        <v>1</v>
      </c>
      <c r="C168" s="1">
        <v>1.3</v>
      </c>
      <c r="D168" s="14">
        <f>50000*(A168-7)/23+3850000</f>
        <v>4200000</v>
      </c>
      <c r="E168" s="15"/>
      <c r="F168" s="12">
        <f>D168/C168/1.35-U168-V168</f>
        <v>1543162.393162393</v>
      </c>
      <c r="G168" s="12"/>
      <c r="H168" s="12">
        <f>(R168*EXP(F168/(R168*S168)-1)-L168)</f>
        <v>1443153405.2500296</v>
      </c>
      <c r="I168" s="12"/>
      <c r="J168" s="11">
        <f t="shared" ref="J168:J187" si="58">IF(H168&gt;=1000000000,(1-(LN(2-H168/10^9))/0.7)*10^9,H168)</f>
        <v>1836379271.9476564</v>
      </c>
      <c r="K168" s="11"/>
      <c r="M168" s="12" t="s">
        <v>11</v>
      </c>
      <c r="N168" s="12"/>
      <c r="R168" s="2">
        <f t="shared" si="48"/>
        <v>8708709</v>
      </c>
      <c r="S168" s="2">
        <f t="shared" si="49"/>
        <v>2.9000000000000001E-2</v>
      </c>
      <c r="U168" s="2">
        <f t="shared" si="50"/>
        <v>700000</v>
      </c>
      <c r="V168" s="2">
        <f t="shared" si="51"/>
        <v>150000</v>
      </c>
    </row>
    <row r="169" spans="1:22" x14ac:dyDescent="0.65">
      <c r="A169" s="3">
        <f t="shared" si="46"/>
        <v>169</v>
      </c>
      <c r="B169" s="1">
        <v>2</v>
      </c>
      <c r="C169" s="1">
        <f>C168-0.01</f>
        <v>1.29</v>
      </c>
      <c r="D169" s="12">
        <f t="shared" ref="D169:D187" si="59">D168</f>
        <v>4200000</v>
      </c>
      <c r="E169" s="12"/>
      <c r="F169" s="12">
        <f t="shared" ref="F169:F187" si="60">D169/C169/1.35-U169-V169</f>
        <v>1561714.039621016</v>
      </c>
      <c r="G169" s="12"/>
      <c r="H169" s="12">
        <f t="shared" ref="H169:H187" si="61">(R169*EXP(F169/(R169*S169)-1)-L169)</f>
        <v>1553153158.4897122</v>
      </c>
      <c r="I169" s="12"/>
      <c r="J169" s="11">
        <f t="shared" si="58"/>
        <v>2150770542.1773648</v>
      </c>
      <c r="K169" s="11"/>
      <c r="M169" s="13">
        <f t="shared" ref="M169:M187" si="62">J169/J168-1</f>
        <v>0.17120170927232614</v>
      </c>
      <c r="N169" s="13"/>
      <c r="R169" s="2">
        <f t="shared" si="48"/>
        <v>8708709</v>
      </c>
      <c r="S169" s="2">
        <f t="shared" si="49"/>
        <v>2.9000000000000001E-2</v>
      </c>
      <c r="U169" s="2">
        <f t="shared" si="50"/>
        <v>700000</v>
      </c>
      <c r="V169" s="2">
        <f t="shared" si="51"/>
        <v>150000</v>
      </c>
    </row>
    <row r="170" spans="1:22" x14ac:dyDescent="0.65">
      <c r="A170" s="3">
        <f t="shared" si="46"/>
        <v>170</v>
      </c>
      <c r="B170" s="1">
        <v>3</v>
      </c>
      <c r="C170" s="1">
        <f>C169-0.01</f>
        <v>1.28</v>
      </c>
      <c r="D170" s="12">
        <f t="shared" si="59"/>
        <v>4200000</v>
      </c>
      <c r="E170" s="12"/>
      <c r="F170" s="12">
        <f t="shared" si="60"/>
        <v>1580555.5555555555</v>
      </c>
      <c r="G170" s="12"/>
      <c r="H170" s="12">
        <f t="shared" si="61"/>
        <v>1673456914.5492427</v>
      </c>
      <c r="I170" s="12"/>
      <c r="J170" s="11">
        <f t="shared" si="58"/>
        <v>2598847682.010675</v>
      </c>
      <c r="K170" s="11"/>
      <c r="M170" s="13">
        <f t="shared" si="62"/>
        <v>0.20833330708523312</v>
      </c>
      <c r="N170" s="13"/>
      <c r="R170" s="2">
        <f t="shared" si="48"/>
        <v>8708709</v>
      </c>
      <c r="S170" s="2">
        <f t="shared" si="49"/>
        <v>2.9000000000000001E-2</v>
      </c>
      <c r="U170" s="2">
        <f t="shared" si="50"/>
        <v>700000</v>
      </c>
      <c r="V170" s="2">
        <f t="shared" si="51"/>
        <v>150000</v>
      </c>
    </row>
    <row r="171" spans="1:22" x14ac:dyDescent="0.65">
      <c r="A171" s="3">
        <f t="shared" si="46"/>
        <v>171</v>
      </c>
      <c r="B171" s="1">
        <v>4</v>
      </c>
      <c r="C171" s="1">
        <f>C170-0.01</f>
        <v>1.27</v>
      </c>
      <c r="D171" s="12">
        <f t="shared" si="59"/>
        <v>4200000</v>
      </c>
      <c r="E171" s="12"/>
      <c r="F171" s="12">
        <f t="shared" si="60"/>
        <v>1599693.7882764651</v>
      </c>
      <c r="G171" s="12"/>
      <c r="H171" s="12">
        <f t="shared" si="61"/>
        <v>1805198760.4548864</v>
      </c>
      <c r="I171" s="12"/>
      <c r="J171" s="11">
        <f t="shared" si="58"/>
        <v>3336822178.0371623</v>
      </c>
      <c r="K171" s="11"/>
      <c r="M171" s="13">
        <f t="shared" si="62"/>
        <v>0.28396219645144094</v>
      </c>
      <c r="N171" s="13"/>
      <c r="R171" s="2">
        <f t="shared" si="48"/>
        <v>8708709</v>
      </c>
      <c r="S171" s="2">
        <f t="shared" si="49"/>
        <v>2.9000000000000001E-2</v>
      </c>
      <c r="U171" s="2">
        <f t="shared" si="50"/>
        <v>700000</v>
      </c>
      <c r="V171" s="2">
        <f t="shared" si="51"/>
        <v>150000</v>
      </c>
    </row>
    <row r="172" spans="1:22" x14ac:dyDescent="0.65">
      <c r="A172" s="3">
        <f t="shared" si="46"/>
        <v>172</v>
      </c>
      <c r="B172" s="1">
        <v>5</v>
      </c>
      <c r="C172" s="1">
        <f>C171-0.01</f>
        <v>1.26</v>
      </c>
      <c r="D172" s="12">
        <f t="shared" si="59"/>
        <v>4200000</v>
      </c>
      <c r="E172" s="12"/>
      <c r="F172" s="12">
        <f t="shared" si="60"/>
        <v>1619135.8024691357</v>
      </c>
      <c r="G172" s="12"/>
      <c r="H172" s="12">
        <f t="shared" si="61"/>
        <v>1949655623.3356569</v>
      </c>
      <c r="I172" s="12"/>
      <c r="J172" s="11">
        <f t="shared" si="58"/>
        <v>5269811929.9621363</v>
      </c>
      <c r="K172" s="11"/>
      <c r="M172" s="13">
        <f t="shared" si="62"/>
        <v>0.57929060908544661</v>
      </c>
      <c r="N172" s="13"/>
      <c r="R172" s="2">
        <f t="shared" si="48"/>
        <v>8708709</v>
      </c>
      <c r="S172" s="2">
        <f t="shared" si="49"/>
        <v>2.9000000000000001E-2</v>
      </c>
      <c r="U172" s="2">
        <f t="shared" si="50"/>
        <v>700000</v>
      </c>
      <c r="V172" s="2">
        <f t="shared" si="51"/>
        <v>150000</v>
      </c>
    </row>
    <row r="173" spans="1:22" x14ac:dyDescent="0.65">
      <c r="A173" s="3">
        <f t="shared" si="46"/>
        <v>173</v>
      </c>
      <c r="B173" s="1">
        <v>6</v>
      </c>
      <c r="C173" s="1">
        <v>1.24</v>
      </c>
      <c r="D173" s="12">
        <f t="shared" si="59"/>
        <v>4200000</v>
      </c>
      <c r="E173" s="12"/>
      <c r="F173" s="12">
        <f t="shared" si="60"/>
        <v>1658960.5734767024</v>
      </c>
      <c r="G173" s="12"/>
      <c r="H173" s="12">
        <f t="shared" si="61"/>
        <v>2282660831.8166132</v>
      </c>
      <c r="I173" s="12"/>
      <c r="J173" s="11" t="e">
        <f t="shared" si="58"/>
        <v>#NUM!</v>
      </c>
      <c r="K173" s="11"/>
      <c r="M173" s="13" t="e">
        <f t="shared" si="62"/>
        <v>#NUM!</v>
      </c>
      <c r="N173" s="13"/>
      <c r="R173" s="2">
        <f t="shared" si="48"/>
        <v>8708709</v>
      </c>
      <c r="S173" s="2">
        <f t="shared" si="49"/>
        <v>2.9000000000000001E-2</v>
      </c>
      <c r="U173" s="2">
        <f t="shared" si="50"/>
        <v>700000</v>
      </c>
      <c r="V173" s="2">
        <f t="shared" si="51"/>
        <v>150000</v>
      </c>
    </row>
    <row r="174" spans="1:22" x14ac:dyDescent="0.65">
      <c r="A174" s="3">
        <f t="shared" si="46"/>
        <v>174</v>
      </c>
      <c r="B174" s="1">
        <v>7</v>
      </c>
      <c r="C174" s="1">
        <f>C173-0.01</f>
        <v>1.23</v>
      </c>
      <c r="D174" s="12">
        <f t="shared" si="59"/>
        <v>4200000</v>
      </c>
      <c r="E174" s="12"/>
      <c r="F174" s="12">
        <f t="shared" si="60"/>
        <v>1679358.6269196025</v>
      </c>
      <c r="G174" s="12"/>
      <c r="H174" s="12">
        <f t="shared" si="61"/>
        <v>2474675685.6092553</v>
      </c>
      <c r="I174" s="12"/>
      <c r="J174" s="11" t="e">
        <f t="shared" si="58"/>
        <v>#NUM!</v>
      </c>
      <c r="K174" s="11"/>
      <c r="M174" s="13" t="e">
        <f t="shared" si="62"/>
        <v>#NUM!</v>
      </c>
      <c r="N174" s="13"/>
      <c r="R174" s="2">
        <f t="shared" si="48"/>
        <v>8708709</v>
      </c>
      <c r="S174" s="2">
        <f t="shared" si="49"/>
        <v>2.9000000000000001E-2</v>
      </c>
      <c r="U174" s="2">
        <f t="shared" si="50"/>
        <v>700000</v>
      </c>
      <c r="V174" s="2">
        <f t="shared" si="51"/>
        <v>150000</v>
      </c>
    </row>
    <row r="175" spans="1:22" x14ac:dyDescent="0.65">
      <c r="A175" s="3">
        <f t="shared" si="46"/>
        <v>175</v>
      </c>
      <c r="B175" s="1">
        <v>8</v>
      </c>
      <c r="C175" s="1">
        <f>C174-0.01</f>
        <v>1.22</v>
      </c>
      <c r="D175" s="12">
        <f t="shared" si="59"/>
        <v>4200000</v>
      </c>
      <c r="E175" s="12"/>
      <c r="F175" s="12">
        <f t="shared" si="60"/>
        <v>1700091.0746812383</v>
      </c>
      <c r="G175" s="12"/>
      <c r="H175" s="12">
        <f t="shared" si="61"/>
        <v>2686397205.0621924</v>
      </c>
      <c r="I175" s="12"/>
      <c r="J175" s="11" t="e">
        <f t="shared" si="58"/>
        <v>#NUM!</v>
      </c>
      <c r="K175" s="11"/>
      <c r="M175" s="13" t="e">
        <f t="shared" si="62"/>
        <v>#NUM!</v>
      </c>
      <c r="N175" s="13"/>
      <c r="R175" s="2">
        <f t="shared" si="48"/>
        <v>8708709</v>
      </c>
      <c r="S175" s="2">
        <f t="shared" si="49"/>
        <v>2.9000000000000001E-2</v>
      </c>
      <c r="U175" s="2">
        <f t="shared" si="50"/>
        <v>700000</v>
      </c>
      <c r="V175" s="2">
        <f t="shared" si="51"/>
        <v>150000</v>
      </c>
    </row>
    <row r="176" spans="1:22" x14ac:dyDescent="0.65">
      <c r="A176" s="3">
        <f t="shared" si="46"/>
        <v>176</v>
      </c>
      <c r="B176" s="1">
        <v>9</v>
      </c>
      <c r="C176" s="1">
        <f t="shared" ref="C176:C187" si="63">C175-0.01</f>
        <v>1.21</v>
      </c>
      <c r="D176" s="12">
        <f t="shared" si="59"/>
        <v>4200000</v>
      </c>
      <c r="E176" s="12"/>
      <c r="F176" s="12">
        <f t="shared" si="60"/>
        <v>1721166.2075298438</v>
      </c>
      <c r="G176" s="12"/>
      <c r="H176" s="12">
        <f t="shared" si="61"/>
        <v>2920192295.5936007</v>
      </c>
      <c r="I176" s="12"/>
      <c r="J176" s="11" t="e">
        <f t="shared" si="58"/>
        <v>#NUM!</v>
      </c>
      <c r="K176" s="11"/>
      <c r="M176" s="13" t="e">
        <f t="shared" si="62"/>
        <v>#NUM!</v>
      </c>
      <c r="N176" s="13"/>
      <c r="R176" s="2">
        <f t="shared" si="48"/>
        <v>8708709</v>
      </c>
      <c r="S176" s="2">
        <f t="shared" si="49"/>
        <v>2.9000000000000001E-2</v>
      </c>
      <c r="U176" s="2">
        <f t="shared" si="50"/>
        <v>700000</v>
      </c>
      <c r="V176" s="2">
        <f t="shared" si="51"/>
        <v>150000</v>
      </c>
    </row>
    <row r="177" spans="1:22" x14ac:dyDescent="0.65">
      <c r="A177" s="3">
        <f t="shared" si="46"/>
        <v>177</v>
      </c>
      <c r="B177" s="1">
        <v>10</v>
      </c>
      <c r="C177" s="1">
        <f t="shared" si="63"/>
        <v>1.2</v>
      </c>
      <c r="D177" s="12">
        <f t="shared" si="59"/>
        <v>4200000</v>
      </c>
      <c r="E177" s="12"/>
      <c r="F177" s="12">
        <f t="shared" si="60"/>
        <v>1742592.5925925924</v>
      </c>
      <c r="G177" s="12"/>
      <c r="H177" s="12">
        <f t="shared" si="61"/>
        <v>3178752356.1099205</v>
      </c>
      <c r="I177" s="12"/>
      <c r="J177" s="11" t="e">
        <f t="shared" si="58"/>
        <v>#NUM!</v>
      </c>
      <c r="K177" s="11"/>
      <c r="M177" s="13" t="e">
        <f t="shared" si="62"/>
        <v>#NUM!</v>
      </c>
      <c r="N177" s="13"/>
      <c r="R177" s="2">
        <f t="shared" si="48"/>
        <v>8708709</v>
      </c>
      <c r="S177" s="2">
        <f t="shared" si="49"/>
        <v>2.9000000000000001E-2</v>
      </c>
      <c r="U177" s="2">
        <f t="shared" si="50"/>
        <v>700000</v>
      </c>
      <c r="V177" s="2">
        <f t="shared" si="51"/>
        <v>150000</v>
      </c>
    </row>
    <row r="178" spans="1:22" x14ac:dyDescent="0.65">
      <c r="A178" s="3">
        <f t="shared" si="46"/>
        <v>178</v>
      </c>
      <c r="B178" s="1">
        <v>11</v>
      </c>
      <c r="C178" s="1">
        <f t="shared" si="63"/>
        <v>1.19</v>
      </c>
      <c r="D178" s="12">
        <f t="shared" si="59"/>
        <v>4200000</v>
      </c>
      <c r="E178" s="12"/>
      <c r="F178" s="12">
        <f t="shared" si="60"/>
        <v>1764379.0849673203</v>
      </c>
      <c r="G178" s="12"/>
      <c r="H178" s="12">
        <f t="shared" si="61"/>
        <v>3465143201.9536071</v>
      </c>
      <c r="I178" s="12"/>
      <c r="J178" s="11" t="e">
        <f t="shared" si="58"/>
        <v>#NUM!</v>
      </c>
      <c r="K178" s="11"/>
      <c r="M178" s="13" t="e">
        <f t="shared" si="62"/>
        <v>#NUM!</v>
      </c>
      <c r="N178" s="13"/>
      <c r="R178" s="2">
        <f t="shared" si="48"/>
        <v>8708709</v>
      </c>
      <c r="S178" s="2">
        <f t="shared" si="49"/>
        <v>2.9000000000000001E-2</v>
      </c>
      <c r="U178" s="2">
        <f t="shared" si="50"/>
        <v>700000</v>
      </c>
      <c r="V178" s="2">
        <f t="shared" si="51"/>
        <v>150000</v>
      </c>
    </row>
    <row r="179" spans="1:22" x14ac:dyDescent="0.65">
      <c r="A179" s="3">
        <f t="shared" si="46"/>
        <v>179</v>
      </c>
      <c r="B179" s="1">
        <v>12</v>
      </c>
      <c r="C179" s="1">
        <f t="shared" si="63"/>
        <v>1.18</v>
      </c>
      <c r="D179" s="12">
        <f t="shared" si="59"/>
        <v>4200000</v>
      </c>
      <c r="E179" s="12"/>
      <c r="F179" s="12">
        <f t="shared" si="60"/>
        <v>1786534.8399246703</v>
      </c>
      <c r="G179" s="12"/>
      <c r="H179" s="12">
        <f t="shared" si="61"/>
        <v>3782863500.1932521</v>
      </c>
      <c r="I179" s="12"/>
      <c r="J179" s="11" t="e">
        <f t="shared" si="58"/>
        <v>#NUM!</v>
      </c>
      <c r="K179" s="11"/>
      <c r="M179" s="13" t="e">
        <f t="shared" si="62"/>
        <v>#NUM!</v>
      </c>
      <c r="N179" s="13"/>
      <c r="R179" s="2">
        <f t="shared" si="48"/>
        <v>8708709</v>
      </c>
      <c r="S179" s="2">
        <f t="shared" si="49"/>
        <v>2.9000000000000001E-2</v>
      </c>
      <c r="U179" s="2">
        <f t="shared" si="50"/>
        <v>700000</v>
      </c>
      <c r="V179" s="2">
        <f t="shared" si="51"/>
        <v>150000</v>
      </c>
    </row>
    <row r="180" spans="1:22" x14ac:dyDescent="0.65">
      <c r="A180" s="3">
        <f t="shared" si="46"/>
        <v>180</v>
      </c>
      <c r="B180" s="1">
        <v>13</v>
      </c>
      <c r="C180" s="1">
        <f t="shared" si="63"/>
        <v>1.17</v>
      </c>
      <c r="D180" s="12">
        <f t="shared" si="59"/>
        <v>4200000</v>
      </c>
      <c r="E180" s="12"/>
      <c r="F180" s="12">
        <f t="shared" si="60"/>
        <v>1809069.3257359923</v>
      </c>
      <c r="G180" s="12"/>
      <c r="H180" s="12">
        <f t="shared" si="61"/>
        <v>4135913310.5376177</v>
      </c>
      <c r="I180" s="12"/>
      <c r="J180" s="11" t="e">
        <f t="shared" si="58"/>
        <v>#NUM!</v>
      </c>
      <c r="K180" s="11"/>
      <c r="M180" s="13" t="e">
        <f t="shared" si="62"/>
        <v>#NUM!</v>
      </c>
      <c r="N180" s="13"/>
      <c r="R180" s="2">
        <f t="shared" si="48"/>
        <v>8708709</v>
      </c>
      <c r="S180" s="2">
        <f t="shared" si="49"/>
        <v>2.9000000000000001E-2</v>
      </c>
      <c r="U180" s="2">
        <f t="shared" si="50"/>
        <v>700000</v>
      </c>
      <c r="V180" s="2">
        <f t="shared" si="51"/>
        <v>150000</v>
      </c>
    </row>
    <row r="181" spans="1:22" x14ac:dyDescent="0.65">
      <c r="A181" s="3">
        <f t="shared" si="46"/>
        <v>181</v>
      </c>
      <c r="B181" s="1">
        <v>14</v>
      </c>
      <c r="C181" s="1">
        <f t="shared" si="63"/>
        <v>1.1599999999999999</v>
      </c>
      <c r="D181" s="12">
        <f t="shared" si="59"/>
        <v>4200000</v>
      </c>
      <c r="E181" s="12"/>
      <c r="F181" s="12">
        <f t="shared" si="60"/>
        <v>1831992.3371647513</v>
      </c>
      <c r="G181" s="12"/>
      <c r="H181" s="12">
        <f t="shared" si="61"/>
        <v>4528874650.035882</v>
      </c>
      <c r="I181" s="12"/>
      <c r="J181" s="11" t="e">
        <f t="shared" si="58"/>
        <v>#NUM!</v>
      </c>
      <c r="K181" s="11"/>
      <c r="M181" s="13" t="e">
        <f t="shared" si="62"/>
        <v>#NUM!</v>
      </c>
      <c r="N181" s="13"/>
      <c r="R181" s="2">
        <f t="shared" si="48"/>
        <v>8708709</v>
      </c>
      <c r="S181" s="2">
        <f t="shared" si="49"/>
        <v>2.9000000000000001E-2</v>
      </c>
      <c r="U181" s="2">
        <f t="shared" si="50"/>
        <v>700000</v>
      </c>
      <c r="V181" s="2">
        <f t="shared" si="51"/>
        <v>150000</v>
      </c>
    </row>
    <row r="182" spans="1:22" x14ac:dyDescent="0.65">
      <c r="A182" s="3">
        <f t="shared" si="46"/>
        <v>182</v>
      </c>
      <c r="B182" s="1">
        <v>15</v>
      </c>
      <c r="C182" s="1">
        <f t="shared" si="63"/>
        <v>1.1499999999999999</v>
      </c>
      <c r="D182" s="12">
        <f t="shared" si="59"/>
        <v>4200000</v>
      </c>
      <c r="E182" s="12"/>
      <c r="F182" s="12">
        <f t="shared" si="60"/>
        <v>1855314.0096618356</v>
      </c>
      <c r="G182" s="12"/>
      <c r="H182" s="12">
        <f t="shared" si="61"/>
        <v>4967006396.3289499</v>
      </c>
      <c r="I182" s="12"/>
      <c r="J182" s="11" t="e">
        <f t="shared" si="58"/>
        <v>#NUM!</v>
      </c>
      <c r="K182" s="11"/>
      <c r="M182" s="13" t="e">
        <f t="shared" si="62"/>
        <v>#NUM!</v>
      </c>
      <c r="N182" s="13"/>
      <c r="R182" s="2">
        <f t="shared" si="48"/>
        <v>8708709</v>
      </c>
      <c r="S182" s="2">
        <f t="shared" si="49"/>
        <v>2.9000000000000001E-2</v>
      </c>
      <c r="U182" s="2">
        <f t="shared" si="50"/>
        <v>700000</v>
      </c>
      <c r="V182" s="2">
        <f t="shared" si="51"/>
        <v>150000</v>
      </c>
    </row>
    <row r="183" spans="1:22" x14ac:dyDescent="0.65">
      <c r="A183" s="3">
        <f t="shared" si="46"/>
        <v>183</v>
      </c>
      <c r="B183" s="1">
        <v>16</v>
      </c>
      <c r="C183" s="1">
        <f t="shared" si="63"/>
        <v>1.1399999999999999</v>
      </c>
      <c r="D183" s="12">
        <f t="shared" si="59"/>
        <v>4200000</v>
      </c>
      <c r="E183" s="12"/>
      <c r="F183" s="12">
        <f t="shared" si="60"/>
        <v>1879044.8343079924</v>
      </c>
      <c r="G183" s="12"/>
      <c r="H183" s="12">
        <f t="shared" si="61"/>
        <v>5456356329.594677</v>
      </c>
      <c r="I183" s="12"/>
      <c r="J183" s="11" t="e">
        <f t="shared" si="58"/>
        <v>#NUM!</v>
      </c>
      <c r="K183" s="11"/>
      <c r="M183" s="13" t="e">
        <f t="shared" si="62"/>
        <v>#NUM!</v>
      </c>
      <c r="N183" s="13"/>
      <c r="R183" s="2">
        <f t="shared" si="48"/>
        <v>8708709</v>
      </c>
      <c r="S183" s="2">
        <f t="shared" si="49"/>
        <v>2.9000000000000001E-2</v>
      </c>
      <c r="U183" s="2">
        <f t="shared" si="50"/>
        <v>700000</v>
      </c>
      <c r="V183" s="2">
        <f t="shared" si="51"/>
        <v>150000</v>
      </c>
    </row>
    <row r="184" spans="1:22" x14ac:dyDescent="0.65">
      <c r="A184" s="3">
        <f t="shared" si="46"/>
        <v>184</v>
      </c>
      <c r="B184" s="1">
        <v>17</v>
      </c>
      <c r="C184" s="1">
        <f t="shared" si="63"/>
        <v>1.1299999999999999</v>
      </c>
      <c r="D184" s="12">
        <f t="shared" si="59"/>
        <v>4200000</v>
      </c>
      <c r="E184" s="12"/>
      <c r="F184" s="12">
        <f t="shared" si="60"/>
        <v>1903195.6735496558</v>
      </c>
      <c r="G184" s="12"/>
      <c r="H184" s="12">
        <f t="shared" si="61"/>
        <v>6003893708.8852987</v>
      </c>
      <c r="I184" s="12"/>
      <c r="J184" s="11" t="e">
        <f t="shared" si="58"/>
        <v>#NUM!</v>
      </c>
      <c r="K184" s="11"/>
      <c r="M184" s="13" t="e">
        <f t="shared" si="62"/>
        <v>#NUM!</v>
      </c>
      <c r="N184" s="13"/>
      <c r="R184" s="2">
        <f t="shared" si="48"/>
        <v>8708709</v>
      </c>
      <c r="S184" s="2">
        <f t="shared" si="49"/>
        <v>2.9000000000000001E-2</v>
      </c>
      <c r="U184" s="2">
        <f t="shared" si="50"/>
        <v>700000</v>
      </c>
      <c r="V184" s="2">
        <f t="shared" si="51"/>
        <v>150000</v>
      </c>
    </row>
    <row r="185" spans="1:22" x14ac:dyDescent="0.65">
      <c r="A185" s="3">
        <f t="shared" si="46"/>
        <v>185</v>
      </c>
      <c r="B185" s="1">
        <v>18</v>
      </c>
      <c r="C185" s="1">
        <f t="shared" si="63"/>
        <v>1.1199999999999999</v>
      </c>
      <c r="D185" s="12">
        <f t="shared" si="59"/>
        <v>4200000</v>
      </c>
      <c r="E185" s="12"/>
      <c r="F185" s="12">
        <f t="shared" si="60"/>
        <v>1927777.777777778</v>
      </c>
      <c r="G185" s="12"/>
      <c r="H185" s="12">
        <f t="shared" si="61"/>
        <v>6617666511.2262049</v>
      </c>
      <c r="I185" s="12"/>
      <c r="J185" s="11" t="e">
        <f t="shared" si="58"/>
        <v>#NUM!</v>
      </c>
      <c r="K185" s="11"/>
      <c r="M185" s="13" t="e">
        <f t="shared" si="62"/>
        <v>#NUM!</v>
      </c>
      <c r="N185" s="13"/>
      <c r="R185" s="2">
        <f t="shared" si="48"/>
        <v>8708709</v>
      </c>
      <c r="S185" s="2">
        <f t="shared" si="49"/>
        <v>2.9000000000000001E-2</v>
      </c>
      <c r="U185" s="2">
        <f t="shared" si="50"/>
        <v>700000</v>
      </c>
      <c r="V185" s="2">
        <f t="shared" si="51"/>
        <v>150000</v>
      </c>
    </row>
    <row r="186" spans="1:22" x14ac:dyDescent="0.65">
      <c r="A186" s="3">
        <f t="shared" si="46"/>
        <v>186</v>
      </c>
      <c r="B186" s="1">
        <v>19</v>
      </c>
      <c r="C186" s="1">
        <f t="shared" si="63"/>
        <v>1.1099999999999999</v>
      </c>
      <c r="D186" s="12">
        <f t="shared" si="59"/>
        <v>4200000</v>
      </c>
      <c r="E186" s="12"/>
      <c r="F186" s="12">
        <f t="shared" si="60"/>
        <v>1952802.802802803</v>
      </c>
      <c r="G186" s="12"/>
      <c r="H186" s="12">
        <f t="shared" si="61"/>
        <v>7306988365.6267824</v>
      </c>
      <c r="I186" s="12"/>
      <c r="J186" s="11" t="e">
        <f t="shared" si="58"/>
        <v>#NUM!</v>
      </c>
      <c r="K186" s="11"/>
      <c r="M186" s="13" t="e">
        <f t="shared" si="62"/>
        <v>#NUM!</v>
      </c>
      <c r="N186" s="13"/>
      <c r="R186" s="2">
        <f t="shared" si="48"/>
        <v>8708709</v>
      </c>
      <c r="S186" s="2">
        <f t="shared" si="49"/>
        <v>2.9000000000000001E-2</v>
      </c>
      <c r="U186" s="2">
        <f t="shared" si="50"/>
        <v>700000</v>
      </c>
      <c r="V186" s="2">
        <f t="shared" si="51"/>
        <v>150000</v>
      </c>
    </row>
    <row r="187" spans="1:22" x14ac:dyDescent="0.65">
      <c r="A187" s="3">
        <f t="shared" si="46"/>
        <v>187</v>
      </c>
      <c r="B187" s="1">
        <v>20</v>
      </c>
      <c r="C187" s="1">
        <f t="shared" si="63"/>
        <v>1.0999999999999999</v>
      </c>
      <c r="D187" s="12">
        <f t="shared" si="59"/>
        <v>4200000</v>
      </c>
      <c r="E187" s="12"/>
      <c r="F187" s="12">
        <f t="shared" si="60"/>
        <v>1978282.8282828284</v>
      </c>
      <c r="G187" s="12"/>
      <c r="H187" s="12">
        <f t="shared" si="61"/>
        <v>8082661332.0873671</v>
      </c>
      <c r="I187" s="12"/>
      <c r="J187" s="11" t="e">
        <f t="shared" si="58"/>
        <v>#NUM!</v>
      </c>
      <c r="K187" s="11"/>
      <c r="M187" s="13" t="e">
        <f t="shared" si="62"/>
        <v>#NUM!</v>
      </c>
      <c r="N187" s="13"/>
      <c r="R187" s="2">
        <f t="shared" si="48"/>
        <v>8708709</v>
      </c>
      <c r="S187" s="2">
        <f t="shared" si="49"/>
        <v>2.9000000000000001E-2</v>
      </c>
      <c r="U187" s="2">
        <f t="shared" si="50"/>
        <v>700000</v>
      </c>
      <c r="V187" s="2">
        <f t="shared" si="51"/>
        <v>150000</v>
      </c>
    </row>
    <row r="188" spans="1:22" x14ac:dyDescent="0.65">
      <c r="A188" s="3">
        <f t="shared" si="46"/>
        <v>188</v>
      </c>
      <c r="R188" s="2">
        <f t="shared" si="48"/>
        <v>8708709</v>
      </c>
      <c r="S188" s="2">
        <f t="shared" si="49"/>
        <v>2.9000000000000001E-2</v>
      </c>
      <c r="U188" s="2">
        <f t="shared" si="50"/>
        <v>700000</v>
      </c>
      <c r="V188" s="2">
        <f t="shared" si="51"/>
        <v>150000</v>
      </c>
    </row>
    <row r="189" spans="1:22" x14ac:dyDescent="0.65">
      <c r="A189" s="3">
        <f t="shared" si="46"/>
        <v>189</v>
      </c>
      <c r="R189" s="2">
        <f t="shared" si="48"/>
        <v>8708709</v>
      </c>
      <c r="S189" s="2">
        <f t="shared" si="49"/>
        <v>2.9000000000000001E-2</v>
      </c>
      <c r="U189" s="2">
        <f t="shared" si="50"/>
        <v>700000</v>
      </c>
      <c r="V189" s="2">
        <f t="shared" si="51"/>
        <v>150000</v>
      </c>
    </row>
    <row r="190" spans="1:22" ht="23.65" thickBot="1" x14ac:dyDescent="0.7">
      <c r="A190" s="3">
        <f t="shared" si="46"/>
        <v>190</v>
      </c>
      <c r="B190" s="1" t="s">
        <v>4</v>
      </c>
      <c r="C190" s="1" t="s">
        <v>5</v>
      </c>
      <c r="D190" s="12" t="s">
        <v>6</v>
      </c>
      <c r="E190" s="12"/>
      <c r="F190" s="12" t="s">
        <v>7</v>
      </c>
      <c r="G190" s="12"/>
      <c r="H190" s="10" t="s">
        <v>8</v>
      </c>
      <c r="I190" s="10"/>
      <c r="J190" s="10" t="s">
        <v>9</v>
      </c>
      <c r="K190" s="10"/>
      <c r="L190" s="4" t="s">
        <v>10</v>
      </c>
      <c r="R190" s="2">
        <f t="shared" si="48"/>
        <v>8708709</v>
      </c>
      <c r="S190" s="2">
        <f t="shared" si="49"/>
        <v>2.9000000000000001E-2</v>
      </c>
      <c r="U190" s="2">
        <f t="shared" si="50"/>
        <v>700000</v>
      </c>
      <c r="V190" s="2">
        <f t="shared" si="51"/>
        <v>150000</v>
      </c>
    </row>
    <row r="191" spans="1:22" ht="23.25" thickBot="1" x14ac:dyDescent="0.7">
      <c r="A191" s="3">
        <f t="shared" si="46"/>
        <v>191</v>
      </c>
      <c r="B191" s="1">
        <v>1</v>
      </c>
      <c r="C191" s="1">
        <v>1.3</v>
      </c>
      <c r="D191" s="14">
        <f>50000*(A191-7)/23+3810000</f>
        <v>4210000</v>
      </c>
      <c r="E191" s="15"/>
      <c r="F191" s="12">
        <f>D191/C191/1.35-U191-V191</f>
        <v>1548860.3988603987</v>
      </c>
      <c r="G191" s="12"/>
      <c r="H191" s="12">
        <f>(R191*EXP(F191/(R191*S191)-1)-L191)</f>
        <v>1476083426.7901566</v>
      </c>
      <c r="I191" s="12"/>
      <c r="J191" s="11">
        <f t="shared" ref="J191:J210" si="64">IF(H191&gt;=1000000000,(1-(LN(2-H191/10^9))/0.7)*10^9,H191)</f>
        <v>1923461169.668824</v>
      </c>
      <c r="K191" s="11"/>
      <c r="M191" s="12" t="s">
        <v>11</v>
      </c>
      <c r="N191" s="12"/>
      <c r="R191" s="2">
        <f t="shared" si="48"/>
        <v>8708709</v>
      </c>
      <c r="S191" s="2">
        <f t="shared" si="49"/>
        <v>2.9000000000000001E-2</v>
      </c>
      <c r="U191" s="2">
        <f t="shared" si="50"/>
        <v>700000</v>
      </c>
      <c r="V191" s="2">
        <f t="shared" si="51"/>
        <v>150000</v>
      </c>
    </row>
    <row r="192" spans="1:22" x14ac:dyDescent="0.65">
      <c r="A192" s="3">
        <f t="shared" si="46"/>
        <v>192</v>
      </c>
      <c r="B192" s="1">
        <v>2</v>
      </c>
      <c r="C192" s="1">
        <f>C191-0.01</f>
        <v>1.29</v>
      </c>
      <c r="D192" s="12">
        <f t="shared" ref="D192:D210" si="65">D191</f>
        <v>4210000</v>
      </c>
      <c r="E192" s="12"/>
      <c r="F192" s="12">
        <f t="shared" ref="F192:F210" si="66">D192/C192/1.35-U192-V192</f>
        <v>1567456.2159058279</v>
      </c>
      <c r="G192" s="12"/>
      <c r="H192" s="12">
        <f t="shared" ref="H192:H210" si="67">(R192*EXP(F192/(R192*S192)-1)-L192)</f>
        <v>1588871029.4720759</v>
      </c>
      <c r="I192" s="12"/>
      <c r="J192" s="11">
        <f t="shared" si="64"/>
        <v>2269783309.7213283</v>
      </c>
      <c r="K192" s="11"/>
      <c r="M192" s="13">
        <f t="shared" ref="M192:M210" si="68">J192/J191-1</f>
        <v>0.18005153704877386</v>
      </c>
      <c r="N192" s="13"/>
      <c r="R192" s="2">
        <f t="shared" si="48"/>
        <v>8708709</v>
      </c>
      <c r="S192" s="2">
        <f t="shared" si="49"/>
        <v>2.9000000000000001E-2</v>
      </c>
      <c r="U192" s="2">
        <f t="shared" si="50"/>
        <v>700000</v>
      </c>
      <c r="V192" s="2">
        <f t="shared" si="51"/>
        <v>150000</v>
      </c>
    </row>
    <row r="193" spans="1:22" x14ac:dyDescent="0.65">
      <c r="A193" s="3">
        <f t="shared" si="46"/>
        <v>193</v>
      </c>
      <c r="B193" s="1">
        <v>3</v>
      </c>
      <c r="C193" s="1">
        <f>C192-0.01</f>
        <v>1.28</v>
      </c>
      <c r="D193" s="12">
        <f t="shared" si="65"/>
        <v>4210000</v>
      </c>
      <c r="E193" s="12"/>
      <c r="F193" s="12">
        <f t="shared" si="66"/>
        <v>1586342.5925925924</v>
      </c>
      <c r="G193" s="12"/>
      <c r="H193" s="12">
        <f t="shared" si="67"/>
        <v>1712245529.6968627</v>
      </c>
      <c r="I193" s="12"/>
      <c r="J193" s="11">
        <f t="shared" si="64"/>
        <v>2779496708.7562265</v>
      </c>
      <c r="K193" s="11"/>
      <c r="M193" s="13">
        <f t="shared" si="68"/>
        <v>0.22456478415883585</v>
      </c>
      <c r="N193" s="13"/>
      <c r="R193" s="2">
        <f t="shared" si="48"/>
        <v>8708709</v>
      </c>
      <c r="S193" s="2">
        <f t="shared" si="49"/>
        <v>2.9000000000000001E-2</v>
      </c>
      <c r="U193" s="2">
        <f t="shared" si="50"/>
        <v>700000</v>
      </c>
      <c r="V193" s="2">
        <f t="shared" si="51"/>
        <v>150000</v>
      </c>
    </row>
    <row r="194" spans="1:22" x14ac:dyDescent="0.65">
      <c r="A194" s="3">
        <f t="shared" ref="A194:A257" si="69">A193+1</f>
        <v>194</v>
      </c>
      <c r="B194" s="1">
        <v>4</v>
      </c>
      <c r="C194" s="1">
        <f>C193-0.01</f>
        <v>1.27</v>
      </c>
      <c r="D194" s="12">
        <f t="shared" si="65"/>
        <v>4210000</v>
      </c>
      <c r="E194" s="12"/>
      <c r="F194" s="12">
        <f t="shared" si="66"/>
        <v>1605526.3925342662</v>
      </c>
      <c r="G194" s="12"/>
      <c r="H194" s="12">
        <f t="shared" si="67"/>
        <v>1847374270.5429184</v>
      </c>
      <c r="I194" s="12"/>
      <c r="J194" s="11">
        <f t="shared" si="64"/>
        <v>3685380810.2215881</v>
      </c>
      <c r="K194" s="11"/>
      <c r="M194" s="13">
        <f t="shared" si="68"/>
        <v>0.32591659440054821</v>
      </c>
      <c r="N194" s="13"/>
      <c r="R194" s="2">
        <f t="shared" si="48"/>
        <v>8708709</v>
      </c>
      <c r="S194" s="2">
        <f t="shared" si="49"/>
        <v>2.9000000000000001E-2</v>
      </c>
      <c r="U194" s="2">
        <f t="shared" si="50"/>
        <v>700000</v>
      </c>
      <c r="V194" s="2">
        <f t="shared" si="51"/>
        <v>150000</v>
      </c>
    </row>
    <row r="195" spans="1:22" x14ac:dyDescent="0.65">
      <c r="A195" s="3">
        <f t="shared" si="69"/>
        <v>195</v>
      </c>
      <c r="B195" s="1">
        <v>5</v>
      </c>
      <c r="C195" s="1">
        <f>C194-0.01</f>
        <v>1.26</v>
      </c>
      <c r="D195" s="12">
        <f t="shared" si="65"/>
        <v>4210000</v>
      </c>
      <c r="E195" s="12"/>
      <c r="F195" s="12">
        <f t="shared" si="66"/>
        <v>1625014.6972369193</v>
      </c>
      <c r="G195" s="12"/>
      <c r="H195" s="12">
        <f t="shared" si="67"/>
        <v>1995571867.2840478</v>
      </c>
      <c r="I195" s="12"/>
      <c r="J195" s="11">
        <f t="shared" si="64"/>
        <v>8742538989.4276123</v>
      </c>
      <c r="K195" s="11"/>
      <c r="M195" s="13">
        <f t="shared" si="68"/>
        <v>1.3722213360366298</v>
      </c>
      <c r="N195" s="13"/>
      <c r="R195" s="2">
        <f t="shared" si="48"/>
        <v>8708709</v>
      </c>
      <c r="S195" s="2">
        <f t="shared" si="49"/>
        <v>2.9000000000000001E-2</v>
      </c>
      <c r="U195" s="2">
        <f t="shared" si="50"/>
        <v>700000</v>
      </c>
      <c r="V195" s="2">
        <f t="shared" si="51"/>
        <v>150000</v>
      </c>
    </row>
    <row r="196" spans="1:22" x14ac:dyDescent="0.65">
      <c r="A196" s="3">
        <f t="shared" si="69"/>
        <v>196</v>
      </c>
      <c r="B196" s="1">
        <v>6</v>
      </c>
      <c r="C196" s="1">
        <v>1.24</v>
      </c>
      <c r="D196" s="12">
        <f t="shared" si="65"/>
        <v>4210000</v>
      </c>
      <c r="E196" s="12"/>
      <c r="F196" s="12">
        <f t="shared" si="66"/>
        <v>1664934.2891278374</v>
      </c>
      <c r="G196" s="12"/>
      <c r="H196" s="12">
        <f t="shared" si="67"/>
        <v>2337297038.7779741</v>
      </c>
      <c r="I196" s="12"/>
      <c r="J196" s="11" t="e">
        <f t="shared" si="64"/>
        <v>#NUM!</v>
      </c>
      <c r="K196" s="11"/>
      <c r="M196" s="13" t="e">
        <f t="shared" si="68"/>
        <v>#NUM!</v>
      </c>
      <c r="N196" s="13"/>
      <c r="R196" s="2">
        <f t="shared" si="48"/>
        <v>8708709</v>
      </c>
      <c r="S196" s="2">
        <f t="shared" si="49"/>
        <v>2.9000000000000001E-2</v>
      </c>
      <c r="U196" s="2">
        <f t="shared" si="50"/>
        <v>700000</v>
      </c>
      <c r="V196" s="2">
        <f t="shared" si="51"/>
        <v>150000</v>
      </c>
    </row>
    <row r="197" spans="1:22" x14ac:dyDescent="0.65">
      <c r="A197" s="3">
        <f t="shared" si="69"/>
        <v>197</v>
      </c>
      <c r="B197" s="1">
        <v>7</v>
      </c>
      <c r="C197" s="1">
        <f>C196-0.01</f>
        <v>1.23</v>
      </c>
      <c r="D197" s="12">
        <f t="shared" si="65"/>
        <v>4210000</v>
      </c>
      <c r="E197" s="12"/>
      <c r="F197" s="12">
        <f t="shared" si="66"/>
        <v>1685380.9093646491</v>
      </c>
      <c r="G197" s="12"/>
      <c r="H197" s="12">
        <f t="shared" si="67"/>
        <v>2534395155.3843899</v>
      </c>
      <c r="I197" s="12"/>
      <c r="J197" s="11" t="e">
        <f t="shared" si="64"/>
        <v>#NUM!</v>
      </c>
      <c r="K197" s="11"/>
      <c r="M197" s="13" t="e">
        <f t="shared" si="68"/>
        <v>#NUM!</v>
      </c>
      <c r="N197" s="13"/>
      <c r="R197" s="2">
        <f t="shared" si="48"/>
        <v>8708709</v>
      </c>
      <c r="S197" s="2">
        <f t="shared" si="49"/>
        <v>2.9000000000000001E-2</v>
      </c>
      <c r="U197" s="2">
        <f t="shared" si="50"/>
        <v>700000</v>
      </c>
      <c r="V197" s="2">
        <f t="shared" si="51"/>
        <v>150000</v>
      </c>
    </row>
    <row r="198" spans="1:22" x14ac:dyDescent="0.65">
      <c r="A198" s="3">
        <f t="shared" si="69"/>
        <v>198</v>
      </c>
      <c r="B198" s="1">
        <v>8</v>
      </c>
      <c r="C198" s="1">
        <f>C197-0.01</f>
        <v>1.22</v>
      </c>
      <c r="D198" s="12">
        <f t="shared" si="65"/>
        <v>4210000</v>
      </c>
      <c r="E198" s="12"/>
      <c r="F198" s="12">
        <f t="shared" si="66"/>
        <v>1706162.7200971465</v>
      </c>
      <c r="G198" s="12"/>
      <c r="H198" s="12">
        <f t="shared" si="67"/>
        <v>2751763786.3563643</v>
      </c>
      <c r="I198" s="12"/>
      <c r="J198" s="11" t="e">
        <f t="shared" si="64"/>
        <v>#NUM!</v>
      </c>
      <c r="K198" s="11"/>
      <c r="M198" s="13" t="e">
        <f t="shared" si="68"/>
        <v>#NUM!</v>
      </c>
      <c r="N198" s="13"/>
      <c r="R198" s="2">
        <f t="shared" si="48"/>
        <v>8708709</v>
      </c>
      <c r="S198" s="2">
        <f t="shared" si="49"/>
        <v>2.9000000000000001E-2</v>
      </c>
      <c r="U198" s="2">
        <f t="shared" si="50"/>
        <v>700000</v>
      </c>
      <c r="V198" s="2">
        <f t="shared" si="51"/>
        <v>150000</v>
      </c>
    </row>
    <row r="199" spans="1:22" x14ac:dyDescent="0.65">
      <c r="A199" s="3">
        <f t="shared" si="69"/>
        <v>199</v>
      </c>
      <c r="B199" s="1">
        <v>9</v>
      </c>
      <c r="C199" s="1">
        <f t="shared" ref="C199:C210" si="70">C198-0.01</f>
        <v>1.21</v>
      </c>
      <c r="D199" s="12">
        <f t="shared" si="65"/>
        <v>4210000</v>
      </c>
      <c r="E199" s="12"/>
      <c r="F199" s="12">
        <f t="shared" si="66"/>
        <v>1727288.0318334862</v>
      </c>
      <c r="G199" s="12"/>
      <c r="H199" s="12">
        <f t="shared" si="67"/>
        <v>2991842061.1780777</v>
      </c>
      <c r="I199" s="12"/>
      <c r="J199" s="11" t="e">
        <f t="shared" si="64"/>
        <v>#NUM!</v>
      </c>
      <c r="K199" s="11"/>
      <c r="M199" s="13" t="e">
        <f t="shared" si="68"/>
        <v>#NUM!</v>
      </c>
      <c r="N199" s="13"/>
      <c r="R199" s="2">
        <f t="shared" si="48"/>
        <v>8708709</v>
      </c>
      <c r="S199" s="2">
        <f t="shared" si="49"/>
        <v>2.9000000000000001E-2</v>
      </c>
      <c r="U199" s="2">
        <f t="shared" si="50"/>
        <v>700000</v>
      </c>
      <c r="V199" s="2">
        <f t="shared" si="51"/>
        <v>150000</v>
      </c>
    </row>
    <row r="200" spans="1:22" x14ac:dyDescent="0.65">
      <c r="A200" s="3">
        <f t="shared" si="69"/>
        <v>200</v>
      </c>
      <c r="B200" s="1">
        <v>10</v>
      </c>
      <c r="C200" s="1">
        <f t="shared" si="70"/>
        <v>1.2</v>
      </c>
      <c r="D200" s="12">
        <f t="shared" si="65"/>
        <v>4210000</v>
      </c>
      <c r="E200" s="12"/>
      <c r="F200" s="12">
        <f t="shared" si="66"/>
        <v>1748765.4320987654</v>
      </c>
      <c r="G200" s="12"/>
      <c r="H200" s="12">
        <f t="shared" si="67"/>
        <v>3257404068.7327514</v>
      </c>
      <c r="I200" s="12"/>
      <c r="J200" s="11" t="e">
        <f t="shared" si="64"/>
        <v>#NUM!</v>
      </c>
      <c r="K200" s="11"/>
      <c r="M200" s="13" t="e">
        <f t="shared" si="68"/>
        <v>#NUM!</v>
      </c>
      <c r="N200" s="13"/>
      <c r="R200" s="2">
        <f t="shared" si="48"/>
        <v>8708709</v>
      </c>
      <c r="S200" s="2">
        <f t="shared" si="49"/>
        <v>2.9000000000000001E-2</v>
      </c>
      <c r="U200" s="2">
        <f t="shared" si="50"/>
        <v>700000</v>
      </c>
      <c r="V200" s="2">
        <f t="shared" si="51"/>
        <v>150000</v>
      </c>
    </row>
    <row r="201" spans="1:22" x14ac:dyDescent="0.65">
      <c r="A201" s="3">
        <f t="shared" si="69"/>
        <v>201</v>
      </c>
      <c r="B201" s="1">
        <v>11</v>
      </c>
      <c r="C201" s="1">
        <f t="shared" si="70"/>
        <v>1.19</v>
      </c>
      <c r="D201" s="12">
        <f t="shared" si="65"/>
        <v>4210000</v>
      </c>
      <c r="E201" s="12"/>
      <c r="F201" s="12">
        <f t="shared" si="66"/>
        <v>1770603.797074385</v>
      </c>
      <c r="G201" s="12"/>
      <c r="H201" s="12">
        <f t="shared" si="67"/>
        <v>3551610471.1795816</v>
      </c>
      <c r="I201" s="12"/>
      <c r="J201" s="11" t="e">
        <f t="shared" si="64"/>
        <v>#NUM!</v>
      </c>
      <c r="K201" s="11"/>
      <c r="M201" s="13" t="e">
        <f t="shared" si="68"/>
        <v>#NUM!</v>
      </c>
      <c r="N201" s="13"/>
      <c r="R201" s="2">
        <f t="shared" ref="R201:R264" si="71">R200</f>
        <v>8708709</v>
      </c>
      <c r="S201" s="2">
        <f t="shared" ref="S201:S261" si="72">S200</f>
        <v>2.9000000000000001E-2</v>
      </c>
      <c r="U201" s="2">
        <f t="shared" si="50"/>
        <v>700000</v>
      </c>
      <c r="V201" s="2">
        <f t="shared" si="51"/>
        <v>150000</v>
      </c>
    </row>
    <row r="202" spans="1:22" x14ac:dyDescent="0.65">
      <c r="A202" s="3">
        <f t="shared" si="69"/>
        <v>202</v>
      </c>
      <c r="B202" s="1">
        <v>12</v>
      </c>
      <c r="C202" s="1">
        <f t="shared" si="70"/>
        <v>1.18</v>
      </c>
      <c r="D202" s="12">
        <f t="shared" si="65"/>
        <v>4210000</v>
      </c>
      <c r="E202" s="12"/>
      <c r="F202" s="12">
        <f t="shared" si="66"/>
        <v>1792812.3038292532</v>
      </c>
      <c r="G202" s="12"/>
      <c r="H202" s="12">
        <f t="shared" si="67"/>
        <v>3878068931.4590673</v>
      </c>
      <c r="I202" s="12"/>
      <c r="J202" s="11" t="e">
        <f t="shared" si="64"/>
        <v>#NUM!</v>
      </c>
      <c r="K202" s="11"/>
      <c r="M202" s="13" t="e">
        <f t="shared" si="68"/>
        <v>#NUM!</v>
      </c>
      <c r="N202" s="13"/>
      <c r="R202" s="2">
        <f t="shared" si="71"/>
        <v>8708709</v>
      </c>
      <c r="S202" s="2">
        <f t="shared" si="72"/>
        <v>2.9000000000000001E-2</v>
      </c>
      <c r="U202" s="2">
        <f t="shared" ref="U202:U258" si="73">U201</f>
        <v>700000</v>
      </c>
      <c r="V202" s="2">
        <f t="shared" ref="V202:V258" si="74">V201</f>
        <v>150000</v>
      </c>
    </row>
    <row r="203" spans="1:22" x14ac:dyDescent="0.65">
      <c r="A203" s="3">
        <f t="shared" si="69"/>
        <v>203</v>
      </c>
      <c r="B203" s="1">
        <v>13</v>
      </c>
      <c r="C203" s="1">
        <f t="shared" si="70"/>
        <v>1.17</v>
      </c>
      <c r="D203" s="12">
        <f t="shared" si="65"/>
        <v>4210000</v>
      </c>
      <c r="E203" s="12"/>
      <c r="F203" s="12">
        <f t="shared" si="66"/>
        <v>1815400.4431782211</v>
      </c>
      <c r="G203" s="12"/>
      <c r="H203" s="12">
        <f t="shared" si="67"/>
        <v>4240905006.4061465</v>
      </c>
      <c r="I203" s="12"/>
      <c r="J203" s="11" t="e">
        <f t="shared" si="64"/>
        <v>#NUM!</v>
      </c>
      <c r="K203" s="11"/>
      <c r="M203" s="13" t="e">
        <f t="shared" si="68"/>
        <v>#NUM!</v>
      </c>
      <c r="N203" s="13"/>
      <c r="R203" s="2">
        <f t="shared" si="71"/>
        <v>8708709</v>
      </c>
      <c r="S203" s="2">
        <f t="shared" si="72"/>
        <v>2.9000000000000001E-2</v>
      </c>
      <c r="U203" s="2">
        <f t="shared" si="73"/>
        <v>700000</v>
      </c>
      <c r="V203" s="2">
        <f t="shared" si="74"/>
        <v>150000</v>
      </c>
    </row>
    <row r="204" spans="1:22" x14ac:dyDescent="0.65">
      <c r="A204" s="3">
        <f t="shared" si="69"/>
        <v>204</v>
      </c>
      <c r="B204" s="1">
        <v>14</v>
      </c>
      <c r="C204" s="1">
        <f t="shared" si="70"/>
        <v>1.1599999999999999</v>
      </c>
      <c r="D204" s="12">
        <f t="shared" si="65"/>
        <v>4210000</v>
      </c>
      <c r="E204" s="12"/>
      <c r="F204" s="12">
        <f t="shared" si="66"/>
        <v>1838378.0332056195</v>
      </c>
      <c r="G204" s="12"/>
      <c r="H204" s="12">
        <f t="shared" si="67"/>
        <v>4644845494.7507467</v>
      </c>
      <c r="I204" s="12"/>
      <c r="J204" s="11" t="e">
        <f t="shared" si="64"/>
        <v>#NUM!</v>
      </c>
      <c r="K204" s="11"/>
      <c r="M204" s="13" t="e">
        <f t="shared" si="68"/>
        <v>#NUM!</v>
      </c>
      <c r="N204" s="13"/>
      <c r="R204" s="2">
        <f t="shared" si="71"/>
        <v>8708709</v>
      </c>
      <c r="S204" s="2">
        <f t="shared" si="72"/>
        <v>2.9000000000000001E-2</v>
      </c>
      <c r="U204" s="2">
        <f t="shared" si="73"/>
        <v>700000</v>
      </c>
      <c r="V204" s="2">
        <f t="shared" si="74"/>
        <v>150000</v>
      </c>
    </row>
    <row r="205" spans="1:22" x14ac:dyDescent="0.65">
      <c r="A205" s="3">
        <f t="shared" si="69"/>
        <v>205</v>
      </c>
      <c r="B205" s="1">
        <v>15</v>
      </c>
      <c r="C205" s="1">
        <f t="shared" si="70"/>
        <v>1.1499999999999999</v>
      </c>
      <c r="D205" s="12">
        <f t="shared" si="65"/>
        <v>4210000</v>
      </c>
      <c r="E205" s="12"/>
      <c r="F205" s="12">
        <f t="shared" si="66"/>
        <v>1861755.2334943642</v>
      </c>
      <c r="G205" s="12"/>
      <c r="H205" s="12">
        <f t="shared" si="67"/>
        <v>5095316641.1429615</v>
      </c>
      <c r="I205" s="12"/>
      <c r="J205" s="11" t="e">
        <f t="shared" si="64"/>
        <v>#NUM!</v>
      </c>
      <c r="K205" s="11"/>
      <c r="M205" s="13" t="e">
        <f t="shared" si="68"/>
        <v>#NUM!</v>
      </c>
      <c r="N205" s="13"/>
      <c r="R205" s="2">
        <f t="shared" si="71"/>
        <v>8708709</v>
      </c>
      <c r="S205" s="2">
        <f t="shared" si="72"/>
        <v>2.9000000000000001E-2</v>
      </c>
      <c r="U205" s="2">
        <f t="shared" si="73"/>
        <v>700000</v>
      </c>
      <c r="V205" s="2">
        <f t="shared" si="74"/>
        <v>150000</v>
      </c>
    </row>
    <row r="206" spans="1:22" x14ac:dyDescent="0.65">
      <c r="A206" s="3">
        <f t="shared" si="69"/>
        <v>206</v>
      </c>
      <c r="B206" s="1">
        <v>16</v>
      </c>
      <c r="C206" s="1">
        <f t="shared" si="70"/>
        <v>1.1399999999999999</v>
      </c>
      <c r="D206" s="12">
        <f t="shared" si="65"/>
        <v>4210000</v>
      </c>
      <c r="E206" s="12"/>
      <c r="F206" s="12">
        <f t="shared" si="66"/>
        <v>1885542.5601039636</v>
      </c>
      <c r="G206" s="12"/>
      <c r="H206" s="12">
        <f t="shared" si="67"/>
        <v>5598560101.5076723</v>
      </c>
      <c r="I206" s="12"/>
      <c r="J206" s="11" t="e">
        <f t="shared" si="64"/>
        <v>#NUM!</v>
      </c>
      <c r="K206" s="11"/>
      <c r="M206" s="13" t="e">
        <f t="shared" si="68"/>
        <v>#NUM!</v>
      </c>
      <c r="N206" s="13"/>
      <c r="R206" s="2">
        <f t="shared" si="71"/>
        <v>8708709</v>
      </c>
      <c r="S206" s="2">
        <f t="shared" si="72"/>
        <v>2.9000000000000001E-2</v>
      </c>
      <c r="U206" s="2">
        <f t="shared" si="73"/>
        <v>700000</v>
      </c>
      <c r="V206" s="2">
        <f t="shared" si="74"/>
        <v>150000</v>
      </c>
    </row>
    <row r="207" spans="1:22" x14ac:dyDescent="0.65">
      <c r="A207" s="3">
        <f t="shared" si="69"/>
        <v>207</v>
      </c>
      <c r="B207" s="1">
        <v>17</v>
      </c>
      <c r="C207" s="1">
        <f t="shared" si="70"/>
        <v>1.1299999999999999</v>
      </c>
      <c r="D207" s="12">
        <f t="shared" si="65"/>
        <v>4210000</v>
      </c>
      <c r="E207" s="12"/>
      <c r="F207" s="12">
        <f t="shared" si="66"/>
        <v>1909750.9013438215</v>
      </c>
      <c r="G207" s="12"/>
      <c r="H207" s="12">
        <f t="shared" si="67"/>
        <v>6161770193.7918444</v>
      </c>
      <c r="I207" s="12"/>
      <c r="J207" s="11" t="e">
        <f t="shared" si="64"/>
        <v>#NUM!</v>
      </c>
      <c r="K207" s="11"/>
      <c r="M207" s="13" t="e">
        <f t="shared" si="68"/>
        <v>#NUM!</v>
      </c>
      <c r="N207" s="13"/>
      <c r="R207" s="2">
        <f t="shared" si="71"/>
        <v>8708709</v>
      </c>
      <c r="S207" s="2">
        <f t="shared" si="72"/>
        <v>2.9000000000000001E-2</v>
      </c>
      <c r="U207" s="2">
        <f t="shared" si="73"/>
        <v>700000</v>
      </c>
      <c r="V207" s="2">
        <f t="shared" si="74"/>
        <v>150000</v>
      </c>
    </row>
    <row r="208" spans="1:22" x14ac:dyDescent="0.65">
      <c r="A208" s="3">
        <f t="shared" si="69"/>
        <v>208</v>
      </c>
      <c r="B208" s="1">
        <v>18</v>
      </c>
      <c r="C208" s="1">
        <f t="shared" si="70"/>
        <v>1.1199999999999999</v>
      </c>
      <c r="D208" s="12">
        <f t="shared" si="65"/>
        <v>4210000</v>
      </c>
      <c r="E208" s="12"/>
      <c r="F208" s="12">
        <f t="shared" si="66"/>
        <v>1934391.5343915345</v>
      </c>
      <c r="G208" s="12"/>
      <c r="H208" s="12">
        <f t="shared" si="67"/>
        <v>6793256719.5671377</v>
      </c>
      <c r="I208" s="12"/>
      <c r="J208" s="11" t="e">
        <f t="shared" si="64"/>
        <v>#NUM!</v>
      </c>
      <c r="K208" s="11"/>
      <c r="M208" s="13" t="e">
        <f t="shared" si="68"/>
        <v>#NUM!</v>
      </c>
      <c r="N208" s="13"/>
      <c r="R208" s="2">
        <f t="shared" si="71"/>
        <v>8708709</v>
      </c>
      <c r="S208" s="2">
        <f t="shared" si="72"/>
        <v>2.9000000000000001E-2</v>
      </c>
      <c r="U208" s="2">
        <f t="shared" si="73"/>
        <v>700000</v>
      </c>
      <c r="V208" s="2">
        <f t="shared" si="74"/>
        <v>150000</v>
      </c>
    </row>
    <row r="209" spans="1:22" x14ac:dyDescent="0.65">
      <c r="A209" s="3">
        <f t="shared" si="69"/>
        <v>209</v>
      </c>
      <c r="B209" s="1">
        <v>19</v>
      </c>
      <c r="C209" s="1">
        <f t="shared" si="70"/>
        <v>1.1099999999999999</v>
      </c>
      <c r="D209" s="12">
        <f t="shared" si="65"/>
        <v>4210000</v>
      </c>
      <c r="E209" s="12"/>
      <c r="F209" s="12">
        <f t="shared" si="66"/>
        <v>1959476.1428094762</v>
      </c>
      <c r="G209" s="12"/>
      <c r="H209" s="12">
        <f t="shared" si="67"/>
        <v>7502638581.4047737</v>
      </c>
      <c r="I209" s="12"/>
      <c r="J209" s="11" t="e">
        <f t="shared" si="64"/>
        <v>#NUM!</v>
      </c>
      <c r="K209" s="11"/>
      <c r="M209" s="13" t="e">
        <f t="shared" si="68"/>
        <v>#NUM!</v>
      </c>
      <c r="N209" s="13"/>
      <c r="R209" s="2">
        <f t="shared" si="71"/>
        <v>8708709</v>
      </c>
      <c r="S209" s="2">
        <f t="shared" si="72"/>
        <v>2.9000000000000001E-2</v>
      </c>
      <c r="U209" s="2">
        <f t="shared" si="73"/>
        <v>700000</v>
      </c>
      <c r="V209" s="2">
        <f t="shared" si="74"/>
        <v>150000</v>
      </c>
    </row>
    <row r="210" spans="1:22" x14ac:dyDescent="0.65">
      <c r="A210" s="3">
        <f t="shared" si="69"/>
        <v>210</v>
      </c>
      <c r="B210" s="1">
        <v>20</v>
      </c>
      <c r="C210" s="1">
        <f t="shared" si="70"/>
        <v>1.0999999999999999</v>
      </c>
      <c r="D210" s="12">
        <f t="shared" si="65"/>
        <v>4210000</v>
      </c>
      <c r="E210" s="12"/>
      <c r="F210" s="12">
        <f t="shared" si="66"/>
        <v>1985016.835016835</v>
      </c>
      <c r="G210" s="12"/>
      <c r="H210" s="12">
        <f t="shared" si="67"/>
        <v>8301074583.2880487</v>
      </c>
      <c r="I210" s="12"/>
      <c r="J210" s="11" t="e">
        <f t="shared" si="64"/>
        <v>#NUM!</v>
      </c>
      <c r="K210" s="11"/>
      <c r="M210" s="13" t="e">
        <f t="shared" si="68"/>
        <v>#NUM!</v>
      </c>
      <c r="N210" s="13"/>
      <c r="R210" s="2">
        <f t="shared" si="71"/>
        <v>8708709</v>
      </c>
      <c r="S210" s="2">
        <f t="shared" si="72"/>
        <v>2.9000000000000001E-2</v>
      </c>
      <c r="U210" s="2">
        <f t="shared" si="73"/>
        <v>700000</v>
      </c>
      <c r="V210" s="2">
        <f t="shared" si="74"/>
        <v>150000</v>
      </c>
    </row>
    <row r="211" spans="1:22" x14ac:dyDescent="0.65">
      <c r="A211" s="3">
        <f t="shared" si="69"/>
        <v>211</v>
      </c>
      <c r="R211" s="2">
        <f t="shared" si="71"/>
        <v>8708709</v>
      </c>
      <c r="S211" s="2">
        <f t="shared" si="72"/>
        <v>2.9000000000000001E-2</v>
      </c>
      <c r="U211" s="2">
        <f t="shared" si="73"/>
        <v>700000</v>
      </c>
      <c r="V211" s="2">
        <f t="shared" si="74"/>
        <v>150000</v>
      </c>
    </row>
    <row r="212" spans="1:22" x14ac:dyDescent="0.65">
      <c r="A212" s="3">
        <f t="shared" si="69"/>
        <v>212</v>
      </c>
      <c r="R212" s="2">
        <f t="shared" si="71"/>
        <v>8708709</v>
      </c>
      <c r="S212" s="2">
        <f t="shared" si="72"/>
        <v>2.9000000000000001E-2</v>
      </c>
      <c r="U212" s="2">
        <f t="shared" si="73"/>
        <v>700000</v>
      </c>
      <c r="V212" s="2">
        <f t="shared" si="74"/>
        <v>150000</v>
      </c>
    </row>
    <row r="213" spans="1:22" ht="23.65" thickBot="1" x14ac:dyDescent="0.7">
      <c r="A213" s="3">
        <f t="shared" si="69"/>
        <v>213</v>
      </c>
      <c r="B213" s="1" t="s">
        <v>4</v>
      </c>
      <c r="C213" s="1" t="s">
        <v>5</v>
      </c>
      <c r="D213" s="12" t="s">
        <v>6</v>
      </c>
      <c r="E213" s="12"/>
      <c r="F213" s="12" t="s">
        <v>7</v>
      </c>
      <c r="G213" s="12"/>
      <c r="H213" s="10" t="s">
        <v>8</v>
      </c>
      <c r="I213" s="10"/>
      <c r="J213" s="10" t="s">
        <v>9</v>
      </c>
      <c r="K213" s="10"/>
      <c r="L213" s="4" t="s">
        <v>10</v>
      </c>
      <c r="R213" s="2">
        <f t="shared" si="71"/>
        <v>8708709</v>
      </c>
      <c r="S213" s="2">
        <f t="shared" si="72"/>
        <v>2.9000000000000001E-2</v>
      </c>
      <c r="U213" s="2">
        <f t="shared" si="73"/>
        <v>700000</v>
      </c>
      <c r="V213" s="2">
        <f t="shared" si="74"/>
        <v>150000</v>
      </c>
    </row>
    <row r="214" spans="1:22" ht="23.25" thickBot="1" x14ac:dyDescent="0.7">
      <c r="A214" s="3">
        <f t="shared" si="69"/>
        <v>214</v>
      </c>
      <c r="B214" s="1">
        <v>1</v>
      </c>
      <c r="C214" s="1">
        <v>1.3</v>
      </c>
      <c r="D214" s="14">
        <f>50000*(A214-7)/23+3770000</f>
        <v>4220000</v>
      </c>
      <c r="E214" s="15"/>
      <c r="F214" s="12">
        <f>D214/C214/1.35-U214-V214</f>
        <v>1554558.4045584043</v>
      </c>
      <c r="G214" s="12"/>
      <c r="H214" s="12">
        <f>(R214*EXP(F214/(R214*S214)-1)-L214)</f>
        <v>1509764848.9192202</v>
      </c>
      <c r="I214" s="12"/>
      <c r="J214" s="11">
        <f t="shared" ref="J214:J233" si="75">IF(H214&gt;=1000000000,(1-(LN(2-H214/10^9))/0.7)*10^9,H214)</f>
        <v>2018385861.1826632</v>
      </c>
      <c r="K214" s="11"/>
      <c r="M214" s="12" t="s">
        <v>11</v>
      </c>
      <c r="N214" s="12"/>
      <c r="R214" s="2">
        <f t="shared" si="71"/>
        <v>8708709</v>
      </c>
      <c r="S214" s="2">
        <f t="shared" si="72"/>
        <v>2.9000000000000001E-2</v>
      </c>
      <c r="U214" s="2">
        <f t="shared" si="73"/>
        <v>700000</v>
      </c>
      <c r="V214" s="2">
        <f t="shared" si="74"/>
        <v>150000</v>
      </c>
    </row>
    <row r="215" spans="1:22" x14ac:dyDescent="0.65">
      <c r="A215" s="3">
        <f t="shared" si="69"/>
        <v>215</v>
      </c>
      <c r="B215" s="1">
        <v>2</v>
      </c>
      <c r="C215" s="1">
        <f>C214-0.01</f>
        <v>1.29</v>
      </c>
      <c r="D215" s="12">
        <f t="shared" ref="D215:D233" si="76">D214</f>
        <v>4220000</v>
      </c>
      <c r="E215" s="12"/>
      <c r="F215" s="12">
        <f t="shared" ref="F215:F233" si="77">D215/C215/1.35-U215-V215</f>
        <v>1573198.3921906399</v>
      </c>
      <c r="G215" s="12"/>
      <c r="H215" s="12">
        <f t="shared" ref="H215:H233" si="78">(R215*EXP(F215/(R215*S215)-1)-L215)</f>
        <v>1625410304.5127189</v>
      </c>
      <c r="I215" s="12"/>
      <c r="J215" s="11">
        <f t="shared" si="75"/>
        <v>2402748567.7042828</v>
      </c>
      <c r="K215" s="11"/>
      <c r="M215" s="13">
        <f t="shared" ref="M215:M233" si="79">J215/J214-1</f>
        <v>0.19043073671572608</v>
      </c>
      <c r="N215" s="13"/>
      <c r="R215" s="2">
        <f t="shared" si="71"/>
        <v>8708709</v>
      </c>
      <c r="S215" s="2">
        <f t="shared" si="72"/>
        <v>2.9000000000000001E-2</v>
      </c>
      <c r="U215" s="2">
        <f t="shared" si="73"/>
        <v>700000</v>
      </c>
      <c r="V215" s="2">
        <f t="shared" si="74"/>
        <v>150000</v>
      </c>
    </row>
    <row r="216" spans="1:22" x14ac:dyDescent="0.65">
      <c r="A216" s="3">
        <f t="shared" si="69"/>
        <v>216</v>
      </c>
      <c r="B216" s="1">
        <v>3</v>
      </c>
      <c r="C216" s="1">
        <f>C215-0.01</f>
        <v>1.28</v>
      </c>
      <c r="D216" s="12">
        <f t="shared" si="76"/>
        <v>4220000</v>
      </c>
      <c r="E216" s="12"/>
      <c r="F216" s="12">
        <f t="shared" si="77"/>
        <v>1592129.6296296297</v>
      </c>
      <c r="G216" s="12"/>
      <c r="H216" s="12">
        <f t="shared" si="78"/>
        <v>1751933215.8943524</v>
      </c>
      <c r="I216" s="12"/>
      <c r="J216" s="11">
        <f t="shared" si="75"/>
        <v>2991510397.6011734</v>
      </c>
      <c r="K216" s="11"/>
      <c r="M216" s="13">
        <f t="shared" si="79"/>
        <v>0.24503680402124872</v>
      </c>
      <c r="N216" s="13"/>
      <c r="R216" s="2">
        <f t="shared" si="71"/>
        <v>8708709</v>
      </c>
      <c r="S216" s="2">
        <f t="shared" si="72"/>
        <v>2.9000000000000001E-2</v>
      </c>
      <c r="U216" s="2">
        <f t="shared" si="73"/>
        <v>700000</v>
      </c>
      <c r="V216" s="2">
        <f t="shared" si="74"/>
        <v>150000</v>
      </c>
    </row>
    <row r="217" spans="1:22" x14ac:dyDescent="0.65">
      <c r="A217" s="3">
        <f t="shared" si="69"/>
        <v>217</v>
      </c>
      <c r="B217" s="1">
        <v>4</v>
      </c>
      <c r="C217" s="1">
        <f>C216-0.01</f>
        <v>1.27</v>
      </c>
      <c r="D217" s="12">
        <f t="shared" si="76"/>
        <v>4220000</v>
      </c>
      <c r="E217" s="12"/>
      <c r="F217" s="12">
        <f t="shared" si="77"/>
        <v>1611358.9967920673</v>
      </c>
      <c r="G217" s="12"/>
      <c r="H217" s="12">
        <f t="shared" si="78"/>
        <v>1890535142.2931404</v>
      </c>
      <c r="I217" s="12"/>
      <c r="J217" s="11">
        <f t="shared" si="75"/>
        <v>4160216736.3141565</v>
      </c>
      <c r="K217" s="11"/>
      <c r="M217" s="13">
        <f t="shared" si="79"/>
        <v>0.39067433616481595</v>
      </c>
      <c r="N217" s="13"/>
      <c r="R217" s="2">
        <f t="shared" si="71"/>
        <v>8708709</v>
      </c>
      <c r="S217" s="2">
        <f t="shared" si="72"/>
        <v>2.9000000000000001E-2</v>
      </c>
      <c r="U217" s="2">
        <f t="shared" si="73"/>
        <v>700000</v>
      </c>
      <c r="V217" s="2">
        <f t="shared" si="74"/>
        <v>150000</v>
      </c>
    </row>
    <row r="218" spans="1:22" x14ac:dyDescent="0.65">
      <c r="A218" s="3">
        <f t="shared" si="69"/>
        <v>218</v>
      </c>
      <c r="B218" s="1">
        <v>5</v>
      </c>
      <c r="C218" s="1">
        <f>C217-0.01</f>
        <v>1.26</v>
      </c>
      <c r="D218" s="12">
        <f t="shared" si="76"/>
        <v>4220000</v>
      </c>
      <c r="E218" s="12"/>
      <c r="F218" s="12">
        <f t="shared" si="77"/>
        <v>1630893.5920047029</v>
      </c>
      <c r="G218" s="12"/>
      <c r="H218" s="12">
        <f t="shared" si="78"/>
        <v>2042569482.44133</v>
      </c>
      <c r="I218" s="12"/>
      <c r="J218" s="11" t="e">
        <f t="shared" si="75"/>
        <v>#NUM!</v>
      </c>
      <c r="K218" s="11"/>
      <c r="M218" s="13" t="e">
        <f t="shared" si="79"/>
        <v>#NUM!</v>
      </c>
      <c r="N218" s="13"/>
      <c r="R218" s="2">
        <f t="shared" si="71"/>
        <v>8708709</v>
      </c>
      <c r="S218" s="2">
        <f t="shared" si="72"/>
        <v>2.9000000000000001E-2</v>
      </c>
      <c r="U218" s="2">
        <f t="shared" si="73"/>
        <v>700000</v>
      </c>
      <c r="V218" s="2">
        <f t="shared" si="74"/>
        <v>150000</v>
      </c>
    </row>
    <row r="219" spans="1:22" x14ac:dyDescent="0.65">
      <c r="A219" s="3">
        <f t="shared" si="69"/>
        <v>219</v>
      </c>
      <c r="B219" s="1">
        <v>6</v>
      </c>
      <c r="C219" s="1">
        <v>1.24</v>
      </c>
      <c r="D219" s="12">
        <f t="shared" si="76"/>
        <v>4220000</v>
      </c>
      <c r="E219" s="12"/>
      <c r="F219" s="12">
        <f t="shared" si="77"/>
        <v>1670908.0047789724</v>
      </c>
      <c r="G219" s="12"/>
      <c r="H219" s="12">
        <f t="shared" si="78"/>
        <v>2393240980.5852304</v>
      </c>
      <c r="I219" s="12"/>
      <c r="J219" s="11" t="e">
        <f t="shared" si="75"/>
        <v>#NUM!</v>
      </c>
      <c r="K219" s="11"/>
      <c r="M219" s="13" t="e">
        <f t="shared" si="79"/>
        <v>#NUM!</v>
      </c>
      <c r="N219" s="13"/>
      <c r="R219" s="2">
        <f t="shared" si="71"/>
        <v>8708709</v>
      </c>
      <c r="S219" s="2">
        <f t="shared" si="72"/>
        <v>2.9000000000000001E-2</v>
      </c>
      <c r="U219" s="2">
        <f t="shared" si="73"/>
        <v>700000</v>
      </c>
      <c r="V219" s="2">
        <f t="shared" si="74"/>
        <v>150000</v>
      </c>
    </row>
    <row r="220" spans="1:22" x14ac:dyDescent="0.65">
      <c r="A220" s="3">
        <f t="shared" si="69"/>
        <v>220</v>
      </c>
      <c r="B220" s="1">
        <v>7</v>
      </c>
      <c r="C220" s="1">
        <f>C219-0.01</f>
        <v>1.23</v>
      </c>
      <c r="D220" s="12">
        <f t="shared" si="76"/>
        <v>4220000</v>
      </c>
      <c r="E220" s="12"/>
      <c r="F220" s="12">
        <f t="shared" si="77"/>
        <v>1691403.1918096957</v>
      </c>
      <c r="G220" s="12"/>
      <c r="H220" s="12">
        <f t="shared" si="78"/>
        <v>2595555789.790091</v>
      </c>
      <c r="I220" s="12"/>
      <c r="J220" s="11" t="e">
        <f t="shared" si="75"/>
        <v>#NUM!</v>
      </c>
      <c r="K220" s="11"/>
      <c r="M220" s="13" t="e">
        <f t="shared" si="79"/>
        <v>#NUM!</v>
      </c>
      <c r="N220" s="13"/>
      <c r="R220" s="2">
        <f t="shared" si="71"/>
        <v>8708709</v>
      </c>
      <c r="S220" s="2">
        <f t="shared" si="72"/>
        <v>2.9000000000000001E-2</v>
      </c>
      <c r="U220" s="2">
        <f t="shared" si="73"/>
        <v>700000</v>
      </c>
      <c r="V220" s="2">
        <f t="shared" si="74"/>
        <v>150000</v>
      </c>
    </row>
    <row r="221" spans="1:22" x14ac:dyDescent="0.65">
      <c r="A221" s="3">
        <f t="shared" si="69"/>
        <v>221</v>
      </c>
      <c r="B221" s="1">
        <v>8</v>
      </c>
      <c r="C221" s="1">
        <f>C220-0.01</f>
        <v>1.22</v>
      </c>
      <c r="D221" s="12">
        <f t="shared" si="76"/>
        <v>4220000</v>
      </c>
      <c r="E221" s="12"/>
      <c r="F221" s="12">
        <f t="shared" si="77"/>
        <v>1712234.3655130537</v>
      </c>
      <c r="G221" s="12"/>
      <c r="H221" s="12">
        <f t="shared" si="78"/>
        <v>2818720895.6417117</v>
      </c>
      <c r="I221" s="12"/>
      <c r="J221" s="11" t="e">
        <f t="shared" si="75"/>
        <v>#NUM!</v>
      </c>
      <c r="K221" s="11"/>
      <c r="M221" s="13" t="e">
        <f t="shared" si="79"/>
        <v>#NUM!</v>
      </c>
      <c r="N221" s="13"/>
      <c r="R221" s="2">
        <f t="shared" si="71"/>
        <v>8708709</v>
      </c>
      <c r="S221" s="2">
        <f t="shared" si="72"/>
        <v>2.9000000000000001E-2</v>
      </c>
      <c r="U221" s="2">
        <f t="shared" si="73"/>
        <v>700000</v>
      </c>
      <c r="V221" s="2">
        <f t="shared" si="74"/>
        <v>150000</v>
      </c>
    </row>
    <row r="222" spans="1:22" x14ac:dyDescent="0.65">
      <c r="A222" s="3">
        <f t="shared" si="69"/>
        <v>222</v>
      </c>
      <c r="B222" s="1">
        <v>9</v>
      </c>
      <c r="C222" s="1">
        <f t="shared" ref="C222:C233" si="80">C221-0.01</f>
        <v>1.21</v>
      </c>
      <c r="D222" s="12">
        <f t="shared" si="76"/>
        <v>4220000</v>
      </c>
      <c r="E222" s="12"/>
      <c r="F222" s="12">
        <f t="shared" si="77"/>
        <v>1733409.856137129</v>
      </c>
      <c r="G222" s="12"/>
      <c r="H222" s="12">
        <f t="shared" si="78"/>
        <v>3065249823.6301146</v>
      </c>
      <c r="I222" s="12"/>
      <c r="J222" s="11" t="e">
        <f t="shared" si="75"/>
        <v>#NUM!</v>
      </c>
      <c r="K222" s="11"/>
      <c r="M222" s="13" t="e">
        <f t="shared" si="79"/>
        <v>#NUM!</v>
      </c>
      <c r="N222" s="13"/>
      <c r="R222" s="2">
        <f t="shared" si="71"/>
        <v>8708709</v>
      </c>
      <c r="S222" s="2">
        <f t="shared" si="72"/>
        <v>2.9000000000000001E-2</v>
      </c>
      <c r="U222" s="2">
        <f t="shared" si="73"/>
        <v>700000</v>
      </c>
      <c r="V222" s="2">
        <f t="shared" si="74"/>
        <v>150000</v>
      </c>
    </row>
    <row r="223" spans="1:22" x14ac:dyDescent="0.65">
      <c r="A223" s="3">
        <f t="shared" si="69"/>
        <v>223</v>
      </c>
      <c r="B223" s="1">
        <v>10</v>
      </c>
      <c r="C223" s="1">
        <f t="shared" si="80"/>
        <v>1.2</v>
      </c>
      <c r="D223" s="12">
        <f t="shared" si="76"/>
        <v>4220000</v>
      </c>
      <c r="E223" s="12"/>
      <c r="F223" s="12">
        <f t="shared" si="77"/>
        <v>1754938.2716049384</v>
      </c>
      <c r="G223" s="12"/>
      <c r="H223" s="12">
        <f t="shared" si="78"/>
        <v>3338001856.7982359</v>
      </c>
      <c r="I223" s="12"/>
      <c r="J223" s="11" t="e">
        <f t="shared" si="75"/>
        <v>#NUM!</v>
      </c>
      <c r="K223" s="11"/>
      <c r="M223" s="13" t="e">
        <f t="shared" si="79"/>
        <v>#NUM!</v>
      </c>
      <c r="N223" s="13"/>
      <c r="R223" s="2">
        <f t="shared" si="71"/>
        <v>8708709</v>
      </c>
      <c r="S223" s="2">
        <f t="shared" si="72"/>
        <v>2.9000000000000001E-2</v>
      </c>
      <c r="U223" s="2">
        <f t="shared" si="73"/>
        <v>700000</v>
      </c>
      <c r="V223" s="2">
        <f t="shared" si="74"/>
        <v>150000</v>
      </c>
    </row>
    <row r="224" spans="1:22" x14ac:dyDescent="0.65">
      <c r="A224" s="3">
        <f t="shared" si="69"/>
        <v>224</v>
      </c>
      <c r="B224" s="1">
        <v>11</v>
      </c>
      <c r="C224" s="1">
        <f t="shared" si="80"/>
        <v>1.19</v>
      </c>
      <c r="D224" s="12">
        <f t="shared" si="76"/>
        <v>4220000</v>
      </c>
      <c r="E224" s="12"/>
      <c r="F224" s="12">
        <f t="shared" si="77"/>
        <v>1776828.5091814506</v>
      </c>
      <c r="G224" s="12"/>
      <c r="H224" s="12">
        <f t="shared" si="78"/>
        <v>3640235396.875061</v>
      </c>
      <c r="I224" s="12"/>
      <c r="J224" s="11" t="e">
        <f t="shared" si="75"/>
        <v>#NUM!</v>
      </c>
      <c r="K224" s="11"/>
      <c r="M224" s="13" t="e">
        <f t="shared" si="79"/>
        <v>#NUM!</v>
      </c>
      <c r="N224" s="13"/>
      <c r="R224" s="2">
        <f t="shared" si="71"/>
        <v>8708709</v>
      </c>
      <c r="S224" s="2">
        <f t="shared" si="72"/>
        <v>2.9000000000000001E-2</v>
      </c>
      <c r="U224" s="2">
        <f t="shared" si="73"/>
        <v>700000</v>
      </c>
      <c r="V224" s="2">
        <f t="shared" si="74"/>
        <v>150000</v>
      </c>
    </row>
    <row r="225" spans="1:22" x14ac:dyDescent="0.65">
      <c r="A225" s="3">
        <f t="shared" si="69"/>
        <v>225</v>
      </c>
      <c r="B225" s="1">
        <v>12</v>
      </c>
      <c r="C225" s="1">
        <f t="shared" si="80"/>
        <v>1.18</v>
      </c>
      <c r="D225" s="12">
        <f t="shared" si="76"/>
        <v>4220000</v>
      </c>
      <c r="E225" s="12"/>
      <c r="F225" s="12">
        <f t="shared" si="77"/>
        <v>1799089.7677338356</v>
      </c>
      <c r="G225" s="12"/>
      <c r="H225" s="12">
        <f t="shared" si="78"/>
        <v>3975670450.8052568</v>
      </c>
      <c r="I225" s="12"/>
      <c r="J225" s="11" t="e">
        <f t="shared" si="75"/>
        <v>#NUM!</v>
      </c>
      <c r="K225" s="11"/>
      <c r="M225" s="13" t="e">
        <f t="shared" si="79"/>
        <v>#NUM!</v>
      </c>
      <c r="N225" s="13"/>
      <c r="R225" s="2">
        <f t="shared" si="71"/>
        <v>8708709</v>
      </c>
      <c r="S225" s="2">
        <f t="shared" si="72"/>
        <v>2.9000000000000001E-2</v>
      </c>
      <c r="U225" s="2">
        <f t="shared" si="73"/>
        <v>700000</v>
      </c>
      <c r="V225" s="2">
        <f t="shared" si="74"/>
        <v>150000</v>
      </c>
    </row>
    <row r="226" spans="1:22" x14ac:dyDescent="0.65">
      <c r="A226" s="3">
        <f t="shared" si="69"/>
        <v>226</v>
      </c>
      <c r="B226" s="1">
        <v>13</v>
      </c>
      <c r="C226" s="1">
        <f t="shared" si="80"/>
        <v>1.17</v>
      </c>
      <c r="D226" s="12">
        <f t="shared" si="76"/>
        <v>4220000</v>
      </c>
      <c r="E226" s="12"/>
      <c r="F226" s="12">
        <f t="shared" si="77"/>
        <v>1821731.5606204495</v>
      </c>
      <c r="G226" s="12"/>
      <c r="H226" s="12">
        <f t="shared" si="78"/>
        <v>4348561955.4784193</v>
      </c>
      <c r="I226" s="12"/>
      <c r="J226" s="11" t="e">
        <f t="shared" si="75"/>
        <v>#NUM!</v>
      </c>
      <c r="K226" s="11"/>
      <c r="M226" s="13" t="e">
        <f t="shared" si="79"/>
        <v>#NUM!</v>
      </c>
      <c r="N226" s="13"/>
      <c r="R226" s="2">
        <f t="shared" si="71"/>
        <v>8708709</v>
      </c>
      <c r="S226" s="2">
        <f t="shared" si="72"/>
        <v>2.9000000000000001E-2</v>
      </c>
      <c r="U226" s="2">
        <f t="shared" si="73"/>
        <v>700000</v>
      </c>
      <c r="V226" s="2">
        <f t="shared" si="74"/>
        <v>150000</v>
      </c>
    </row>
    <row r="227" spans="1:22" x14ac:dyDescent="0.65">
      <c r="A227" s="3">
        <f t="shared" si="69"/>
        <v>227</v>
      </c>
      <c r="B227" s="1">
        <v>14</v>
      </c>
      <c r="C227" s="1">
        <f t="shared" si="80"/>
        <v>1.1599999999999999</v>
      </c>
      <c r="D227" s="12">
        <f t="shared" si="76"/>
        <v>4220000</v>
      </c>
      <c r="E227" s="12"/>
      <c r="F227" s="12">
        <f t="shared" si="77"/>
        <v>1844763.7292464878</v>
      </c>
      <c r="G227" s="12"/>
      <c r="H227" s="12">
        <f t="shared" si="78"/>
        <v>4763786003.6456079</v>
      </c>
      <c r="I227" s="12"/>
      <c r="J227" s="11" t="e">
        <f t="shared" si="75"/>
        <v>#NUM!</v>
      </c>
      <c r="K227" s="11"/>
      <c r="M227" s="13" t="e">
        <f t="shared" si="79"/>
        <v>#NUM!</v>
      </c>
      <c r="N227" s="13"/>
      <c r="R227" s="2">
        <f t="shared" si="71"/>
        <v>8708709</v>
      </c>
      <c r="S227" s="2">
        <f t="shared" si="72"/>
        <v>2.9000000000000001E-2</v>
      </c>
      <c r="U227" s="2">
        <f t="shared" si="73"/>
        <v>700000</v>
      </c>
      <c r="V227" s="2">
        <f t="shared" si="74"/>
        <v>150000</v>
      </c>
    </row>
    <row r="228" spans="1:22" x14ac:dyDescent="0.65">
      <c r="A228" s="3">
        <f t="shared" si="69"/>
        <v>228</v>
      </c>
      <c r="B228" s="1">
        <v>15</v>
      </c>
      <c r="C228" s="1">
        <f t="shared" si="80"/>
        <v>1.1499999999999999</v>
      </c>
      <c r="D228" s="12">
        <f t="shared" si="76"/>
        <v>4220000</v>
      </c>
      <c r="E228" s="12"/>
      <c r="F228" s="12">
        <f t="shared" si="77"/>
        <v>1868196.4573268923</v>
      </c>
      <c r="G228" s="12"/>
      <c r="H228" s="12">
        <f t="shared" si="78"/>
        <v>5226941461.7014971</v>
      </c>
      <c r="I228" s="12"/>
      <c r="J228" s="11" t="e">
        <f t="shared" si="75"/>
        <v>#NUM!</v>
      </c>
      <c r="K228" s="11"/>
      <c r="M228" s="13" t="e">
        <f t="shared" si="79"/>
        <v>#NUM!</v>
      </c>
      <c r="N228" s="13"/>
      <c r="R228" s="2">
        <f t="shared" si="71"/>
        <v>8708709</v>
      </c>
      <c r="S228" s="2">
        <f t="shared" si="72"/>
        <v>2.9000000000000001E-2</v>
      </c>
      <c r="U228" s="2">
        <f t="shared" si="73"/>
        <v>700000</v>
      </c>
      <c r="V228" s="2">
        <f t="shared" si="74"/>
        <v>150000</v>
      </c>
    </row>
    <row r="229" spans="1:22" x14ac:dyDescent="0.65">
      <c r="A229" s="3">
        <f t="shared" si="69"/>
        <v>229</v>
      </c>
      <c r="B229" s="1">
        <v>16</v>
      </c>
      <c r="C229" s="1">
        <f t="shared" si="80"/>
        <v>1.1399999999999999</v>
      </c>
      <c r="D229" s="12">
        <f t="shared" si="76"/>
        <v>4220000</v>
      </c>
      <c r="E229" s="12"/>
      <c r="F229" s="12">
        <f t="shared" si="77"/>
        <v>1892040.2858999353</v>
      </c>
      <c r="G229" s="12"/>
      <c r="H229" s="12">
        <f t="shared" si="78"/>
        <v>5744469993.6820383</v>
      </c>
      <c r="I229" s="12"/>
      <c r="J229" s="11" t="e">
        <f t="shared" si="75"/>
        <v>#NUM!</v>
      </c>
      <c r="K229" s="11"/>
      <c r="M229" s="13" t="e">
        <f t="shared" si="79"/>
        <v>#NUM!</v>
      </c>
      <c r="N229" s="13"/>
      <c r="R229" s="2">
        <f t="shared" si="71"/>
        <v>8708709</v>
      </c>
      <c r="S229" s="2">
        <f t="shared" si="72"/>
        <v>2.9000000000000001E-2</v>
      </c>
      <c r="U229" s="2">
        <f t="shared" si="73"/>
        <v>700000</v>
      </c>
      <c r="V229" s="2">
        <f t="shared" si="74"/>
        <v>150000</v>
      </c>
    </row>
    <row r="230" spans="1:22" x14ac:dyDescent="0.65">
      <c r="A230" s="3">
        <f t="shared" si="69"/>
        <v>230</v>
      </c>
      <c r="B230" s="1">
        <v>17</v>
      </c>
      <c r="C230" s="1">
        <f t="shared" si="80"/>
        <v>1.1299999999999999</v>
      </c>
      <c r="D230" s="12">
        <f t="shared" si="76"/>
        <v>4220000</v>
      </c>
      <c r="E230" s="12"/>
      <c r="F230" s="12">
        <f t="shared" si="77"/>
        <v>1916306.1291379877</v>
      </c>
      <c r="G230" s="12"/>
      <c r="H230" s="12">
        <f t="shared" si="78"/>
        <v>6323798148.6768904</v>
      </c>
      <c r="I230" s="12"/>
      <c r="J230" s="11" t="e">
        <f t="shared" si="75"/>
        <v>#NUM!</v>
      </c>
      <c r="K230" s="11"/>
      <c r="M230" s="13" t="e">
        <f t="shared" si="79"/>
        <v>#NUM!</v>
      </c>
      <c r="N230" s="13"/>
      <c r="R230" s="2">
        <f t="shared" si="71"/>
        <v>8708709</v>
      </c>
      <c r="S230" s="2">
        <f t="shared" si="72"/>
        <v>2.9000000000000001E-2</v>
      </c>
      <c r="U230" s="2">
        <f t="shared" si="73"/>
        <v>700000</v>
      </c>
      <c r="V230" s="2">
        <f t="shared" si="74"/>
        <v>150000</v>
      </c>
    </row>
    <row r="231" spans="1:22" x14ac:dyDescent="0.65">
      <c r="A231" s="3">
        <f t="shared" si="69"/>
        <v>231</v>
      </c>
      <c r="B231" s="1">
        <v>18</v>
      </c>
      <c r="C231" s="1">
        <f t="shared" si="80"/>
        <v>1.1199999999999999</v>
      </c>
      <c r="D231" s="12">
        <f t="shared" si="76"/>
        <v>4220000</v>
      </c>
      <c r="E231" s="12"/>
      <c r="F231" s="12">
        <f t="shared" si="77"/>
        <v>1941005.291005291</v>
      </c>
      <c r="G231" s="12"/>
      <c r="H231" s="12">
        <f t="shared" si="78"/>
        <v>6973505960.0930433</v>
      </c>
      <c r="I231" s="12"/>
      <c r="J231" s="11" t="e">
        <f t="shared" si="75"/>
        <v>#NUM!</v>
      </c>
      <c r="K231" s="11"/>
      <c r="M231" s="13" t="e">
        <f t="shared" si="79"/>
        <v>#NUM!</v>
      </c>
      <c r="N231" s="13"/>
      <c r="R231" s="2">
        <f t="shared" si="71"/>
        <v>8708709</v>
      </c>
      <c r="S231" s="2">
        <f t="shared" si="72"/>
        <v>2.9000000000000001E-2</v>
      </c>
      <c r="U231" s="2">
        <f t="shared" si="73"/>
        <v>700000</v>
      </c>
      <c r="V231" s="2">
        <f t="shared" si="74"/>
        <v>150000</v>
      </c>
    </row>
    <row r="232" spans="1:22" x14ac:dyDescent="0.65">
      <c r="A232" s="3">
        <f t="shared" si="69"/>
        <v>232</v>
      </c>
      <c r="B232" s="1">
        <v>19</v>
      </c>
      <c r="C232" s="1">
        <f t="shared" si="80"/>
        <v>1.1099999999999999</v>
      </c>
      <c r="D232" s="12">
        <f t="shared" si="76"/>
        <v>4220000</v>
      </c>
      <c r="E232" s="12"/>
      <c r="F232" s="12">
        <f t="shared" si="77"/>
        <v>1966149.4828161495</v>
      </c>
      <c r="G232" s="12"/>
      <c r="H232" s="12">
        <f t="shared" si="78"/>
        <v>7703527481.715786</v>
      </c>
      <c r="I232" s="12"/>
      <c r="J232" s="11" t="e">
        <f t="shared" si="75"/>
        <v>#NUM!</v>
      </c>
      <c r="K232" s="11"/>
      <c r="M232" s="13" t="e">
        <f t="shared" si="79"/>
        <v>#NUM!</v>
      </c>
      <c r="N232" s="13"/>
      <c r="R232" s="2">
        <f t="shared" si="71"/>
        <v>8708709</v>
      </c>
      <c r="S232" s="2">
        <f t="shared" si="72"/>
        <v>2.9000000000000001E-2</v>
      </c>
      <c r="U232" s="2">
        <f t="shared" si="73"/>
        <v>700000</v>
      </c>
      <c r="V232" s="2">
        <f t="shared" si="74"/>
        <v>150000</v>
      </c>
    </row>
    <row r="233" spans="1:22" x14ac:dyDescent="0.65">
      <c r="A233" s="3">
        <f t="shared" si="69"/>
        <v>233</v>
      </c>
      <c r="B233" s="1">
        <v>20</v>
      </c>
      <c r="C233" s="1">
        <f t="shared" si="80"/>
        <v>1.0999999999999999</v>
      </c>
      <c r="D233" s="12">
        <f t="shared" si="76"/>
        <v>4220000</v>
      </c>
      <c r="E233" s="12"/>
      <c r="F233" s="12">
        <f t="shared" si="77"/>
        <v>1991750.8417508416</v>
      </c>
      <c r="G233" s="12"/>
      <c r="H233" s="12">
        <f t="shared" si="78"/>
        <v>8525389894.0134401</v>
      </c>
      <c r="I233" s="12"/>
      <c r="J233" s="11" t="e">
        <f t="shared" si="75"/>
        <v>#NUM!</v>
      </c>
      <c r="K233" s="11"/>
      <c r="M233" s="13" t="e">
        <f t="shared" si="79"/>
        <v>#NUM!</v>
      </c>
      <c r="N233" s="13"/>
      <c r="R233" s="2">
        <f t="shared" si="71"/>
        <v>8708709</v>
      </c>
      <c r="S233" s="2">
        <f t="shared" si="72"/>
        <v>2.9000000000000001E-2</v>
      </c>
      <c r="U233" s="2">
        <f t="shared" si="73"/>
        <v>700000</v>
      </c>
      <c r="V233" s="2">
        <f t="shared" si="74"/>
        <v>150000</v>
      </c>
    </row>
    <row r="234" spans="1:22" x14ac:dyDescent="0.65">
      <c r="A234" s="3">
        <f t="shared" si="69"/>
        <v>234</v>
      </c>
      <c r="R234" s="2">
        <f t="shared" si="71"/>
        <v>8708709</v>
      </c>
      <c r="S234" s="2">
        <f t="shared" si="72"/>
        <v>2.9000000000000001E-2</v>
      </c>
      <c r="U234" s="2">
        <f t="shared" si="73"/>
        <v>700000</v>
      </c>
      <c r="V234" s="2">
        <f t="shared" si="74"/>
        <v>150000</v>
      </c>
    </row>
    <row r="235" spans="1:22" x14ac:dyDescent="0.65">
      <c r="A235" s="3">
        <f t="shared" si="69"/>
        <v>235</v>
      </c>
      <c r="R235" s="2">
        <f t="shared" si="71"/>
        <v>8708709</v>
      </c>
      <c r="S235" s="2">
        <f t="shared" si="72"/>
        <v>2.9000000000000001E-2</v>
      </c>
      <c r="U235" s="2">
        <f t="shared" si="73"/>
        <v>700000</v>
      </c>
      <c r="V235" s="2">
        <f t="shared" si="74"/>
        <v>150000</v>
      </c>
    </row>
    <row r="236" spans="1:22" x14ac:dyDescent="0.65">
      <c r="A236" s="3">
        <f t="shared" si="69"/>
        <v>236</v>
      </c>
      <c r="R236" s="2">
        <f t="shared" si="71"/>
        <v>8708709</v>
      </c>
      <c r="S236" s="2">
        <f t="shared" si="72"/>
        <v>2.9000000000000001E-2</v>
      </c>
      <c r="U236" s="2">
        <f t="shared" si="73"/>
        <v>700000</v>
      </c>
      <c r="V236" s="2">
        <f t="shared" si="74"/>
        <v>150000</v>
      </c>
    </row>
    <row r="237" spans="1:22" x14ac:dyDescent="0.65">
      <c r="A237" s="3">
        <f t="shared" si="69"/>
        <v>237</v>
      </c>
      <c r="R237" s="2">
        <f t="shared" si="71"/>
        <v>8708709</v>
      </c>
      <c r="S237" s="2">
        <f t="shared" si="72"/>
        <v>2.9000000000000001E-2</v>
      </c>
      <c r="U237" s="2">
        <f t="shared" si="73"/>
        <v>700000</v>
      </c>
      <c r="V237" s="2">
        <f t="shared" si="74"/>
        <v>150000</v>
      </c>
    </row>
    <row r="238" spans="1:22" x14ac:dyDescent="0.65">
      <c r="A238" s="3">
        <f t="shared" si="69"/>
        <v>238</v>
      </c>
      <c r="R238" s="2">
        <f t="shared" si="71"/>
        <v>8708709</v>
      </c>
      <c r="S238" s="2">
        <f t="shared" si="72"/>
        <v>2.9000000000000001E-2</v>
      </c>
      <c r="U238" s="2">
        <f t="shared" si="73"/>
        <v>700000</v>
      </c>
      <c r="V238" s="2">
        <f t="shared" si="74"/>
        <v>150000</v>
      </c>
    </row>
    <row r="239" spans="1:22" x14ac:dyDescent="0.65">
      <c r="A239" s="3">
        <f t="shared" si="69"/>
        <v>239</v>
      </c>
      <c r="R239" s="2">
        <f t="shared" si="71"/>
        <v>8708709</v>
      </c>
      <c r="S239" s="2">
        <f t="shared" si="72"/>
        <v>2.9000000000000001E-2</v>
      </c>
      <c r="U239" s="2">
        <f t="shared" si="73"/>
        <v>700000</v>
      </c>
      <c r="V239" s="2">
        <f t="shared" si="74"/>
        <v>150000</v>
      </c>
    </row>
    <row r="240" spans="1:22" x14ac:dyDescent="0.65">
      <c r="A240" s="3">
        <f t="shared" si="69"/>
        <v>240</v>
      </c>
      <c r="R240" s="2">
        <f t="shared" si="71"/>
        <v>8708709</v>
      </c>
      <c r="S240" s="2">
        <f t="shared" si="72"/>
        <v>2.9000000000000001E-2</v>
      </c>
      <c r="U240" s="2">
        <f t="shared" si="73"/>
        <v>700000</v>
      </c>
      <c r="V240" s="2">
        <f t="shared" si="74"/>
        <v>150000</v>
      </c>
    </row>
    <row r="241" spans="1:22" x14ac:dyDescent="0.65">
      <c r="A241" s="3">
        <f t="shared" si="69"/>
        <v>241</v>
      </c>
      <c r="R241" s="2">
        <f t="shared" si="71"/>
        <v>8708709</v>
      </c>
      <c r="S241" s="2">
        <f t="shared" si="72"/>
        <v>2.9000000000000001E-2</v>
      </c>
      <c r="U241" s="2">
        <f t="shared" si="73"/>
        <v>700000</v>
      </c>
      <c r="V241" s="2">
        <f t="shared" si="74"/>
        <v>150000</v>
      </c>
    </row>
    <row r="242" spans="1:22" x14ac:dyDescent="0.65">
      <c r="A242" s="3">
        <f t="shared" si="69"/>
        <v>242</v>
      </c>
      <c r="R242" s="2">
        <f t="shared" si="71"/>
        <v>8708709</v>
      </c>
      <c r="S242" s="2">
        <f t="shared" si="72"/>
        <v>2.9000000000000001E-2</v>
      </c>
      <c r="U242" s="2">
        <f t="shared" si="73"/>
        <v>700000</v>
      </c>
      <c r="V242" s="2">
        <f t="shared" si="74"/>
        <v>150000</v>
      </c>
    </row>
    <row r="243" spans="1:22" x14ac:dyDescent="0.65">
      <c r="A243" s="3">
        <f t="shared" si="69"/>
        <v>243</v>
      </c>
      <c r="R243" s="2">
        <f t="shared" si="71"/>
        <v>8708709</v>
      </c>
      <c r="S243" s="2">
        <f t="shared" si="72"/>
        <v>2.9000000000000001E-2</v>
      </c>
      <c r="U243" s="2">
        <f t="shared" si="73"/>
        <v>700000</v>
      </c>
      <c r="V243" s="2">
        <f t="shared" si="74"/>
        <v>150000</v>
      </c>
    </row>
    <row r="244" spans="1:22" x14ac:dyDescent="0.65">
      <c r="A244" s="3">
        <f t="shared" si="69"/>
        <v>244</v>
      </c>
      <c r="R244" s="2">
        <f t="shared" si="71"/>
        <v>8708709</v>
      </c>
      <c r="S244" s="2">
        <f t="shared" si="72"/>
        <v>2.9000000000000001E-2</v>
      </c>
      <c r="U244" s="2">
        <f t="shared" si="73"/>
        <v>700000</v>
      </c>
      <c r="V244" s="2">
        <f t="shared" si="74"/>
        <v>150000</v>
      </c>
    </row>
    <row r="245" spans="1:22" x14ac:dyDescent="0.65">
      <c r="A245" s="3">
        <f t="shared" si="69"/>
        <v>245</v>
      </c>
      <c r="R245" s="2">
        <f t="shared" si="71"/>
        <v>8708709</v>
      </c>
      <c r="S245" s="2">
        <f t="shared" si="72"/>
        <v>2.9000000000000001E-2</v>
      </c>
      <c r="U245" s="2">
        <f t="shared" si="73"/>
        <v>700000</v>
      </c>
      <c r="V245" s="2">
        <f t="shared" si="74"/>
        <v>150000</v>
      </c>
    </row>
    <row r="246" spans="1:22" x14ac:dyDescent="0.65">
      <c r="A246" s="3">
        <f t="shared" si="69"/>
        <v>246</v>
      </c>
      <c r="R246" s="2">
        <f t="shared" si="71"/>
        <v>8708709</v>
      </c>
      <c r="S246" s="2">
        <f t="shared" si="72"/>
        <v>2.9000000000000001E-2</v>
      </c>
      <c r="U246" s="2">
        <f t="shared" ref="U246:U261" si="81">U245</f>
        <v>700000</v>
      </c>
      <c r="V246" s="2">
        <f t="shared" ref="V246:V261" si="82">V245</f>
        <v>150000</v>
      </c>
    </row>
    <row r="247" spans="1:22" x14ac:dyDescent="0.65">
      <c r="A247" s="3">
        <f t="shared" si="69"/>
        <v>247</v>
      </c>
      <c r="R247" s="2">
        <f t="shared" si="71"/>
        <v>8708709</v>
      </c>
      <c r="S247" s="2">
        <f t="shared" si="72"/>
        <v>2.9000000000000001E-2</v>
      </c>
      <c r="U247" s="2">
        <f t="shared" si="81"/>
        <v>700000</v>
      </c>
      <c r="V247" s="2">
        <f t="shared" si="82"/>
        <v>150000</v>
      </c>
    </row>
    <row r="248" spans="1:22" x14ac:dyDescent="0.65">
      <c r="A248" s="3">
        <f t="shared" si="69"/>
        <v>248</v>
      </c>
      <c r="R248" s="2">
        <f t="shared" si="71"/>
        <v>8708709</v>
      </c>
      <c r="S248" s="2">
        <f t="shared" si="72"/>
        <v>2.9000000000000001E-2</v>
      </c>
      <c r="U248" s="2">
        <f t="shared" si="81"/>
        <v>700000</v>
      </c>
      <c r="V248" s="2">
        <f t="shared" si="82"/>
        <v>150000</v>
      </c>
    </row>
    <row r="249" spans="1:22" x14ac:dyDescent="0.65">
      <c r="A249" s="3">
        <f t="shared" si="69"/>
        <v>249</v>
      </c>
      <c r="R249" s="2">
        <f t="shared" si="71"/>
        <v>8708709</v>
      </c>
      <c r="S249" s="2">
        <f t="shared" si="72"/>
        <v>2.9000000000000001E-2</v>
      </c>
      <c r="U249" s="2">
        <f t="shared" si="81"/>
        <v>700000</v>
      </c>
      <c r="V249" s="2">
        <f t="shared" si="82"/>
        <v>150000</v>
      </c>
    </row>
    <row r="250" spans="1:22" x14ac:dyDescent="0.65">
      <c r="A250" s="3">
        <f t="shared" si="69"/>
        <v>250</v>
      </c>
      <c r="R250" s="2">
        <f t="shared" si="71"/>
        <v>8708709</v>
      </c>
      <c r="S250" s="2">
        <f t="shared" si="72"/>
        <v>2.9000000000000001E-2</v>
      </c>
      <c r="U250" s="2">
        <f t="shared" si="81"/>
        <v>700000</v>
      </c>
      <c r="V250" s="2">
        <f t="shared" si="82"/>
        <v>150000</v>
      </c>
    </row>
    <row r="251" spans="1:22" x14ac:dyDescent="0.65">
      <c r="A251" s="3">
        <f t="shared" si="69"/>
        <v>251</v>
      </c>
      <c r="R251" s="2">
        <f t="shared" si="71"/>
        <v>8708709</v>
      </c>
      <c r="S251" s="2">
        <f t="shared" si="72"/>
        <v>2.9000000000000001E-2</v>
      </c>
      <c r="U251" s="2">
        <f t="shared" si="81"/>
        <v>700000</v>
      </c>
      <c r="V251" s="2">
        <f t="shared" si="82"/>
        <v>150000</v>
      </c>
    </row>
    <row r="252" spans="1:22" x14ac:dyDescent="0.65">
      <c r="A252" s="3">
        <f t="shared" si="69"/>
        <v>252</v>
      </c>
      <c r="R252" s="2">
        <f t="shared" si="71"/>
        <v>8708709</v>
      </c>
      <c r="S252" s="2">
        <f t="shared" si="72"/>
        <v>2.9000000000000001E-2</v>
      </c>
      <c r="U252" s="2">
        <f t="shared" si="81"/>
        <v>700000</v>
      </c>
      <c r="V252" s="2">
        <f t="shared" si="82"/>
        <v>150000</v>
      </c>
    </row>
    <row r="253" spans="1:22" x14ac:dyDescent="0.65">
      <c r="A253" s="3">
        <f t="shared" si="69"/>
        <v>253</v>
      </c>
      <c r="R253" s="2">
        <f t="shared" si="71"/>
        <v>8708709</v>
      </c>
      <c r="S253" s="2">
        <f t="shared" si="72"/>
        <v>2.9000000000000001E-2</v>
      </c>
      <c r="U253" s="2">
        <f t="shared" si="81"/>
        <v>700000</v>
      </c>
      <c r="V253" s="2">
        <f t="shared" si="82"/>
        <v>150000</v>
      </c>
    </row>
    <row r="254" spans="1:22" x14ac:dyDescent="0.65">
      <c r="A254" s="3">
        <f t="shared" si="69"/>
        <v>254</v>
      </c>
      <c r="R254" s="2">
        <f t="shared" si="71"/>
        <v>8708709</v>
      </c>
      <c r="S254" s="2">
        <f t="shared" si="72"/>
        <v>2.9000000000000001E-2</v>
      </c>
      <c r="U254" s="2">
        <f t="shared" si="81"/>
        <v>700000</v>
      </c>
      <c r="V254" s="2">
        <f t="shared" si="82"/>
        <v>150000</v>
      </c>
    </row>
    <row r="255" spans="1:22" x14ac:dyDescent="0.65">
      <c r="A255" s="3">
        <f t="shared" si="69"/>
        <v>255</v>
      </c>
      <c r="R255" s="2">
        <f t="shared" si="71"/>
        <v>8708709</v>
      </c>
      <c r="S255" s="2">
        <f t="shared" si="72"/>
        <v>2.9000000000000001E-2</v>
      </c>
      <c r="U255" s="2">
        <f t="shared" si="81"/>
        <v>700000</v>
      </c>
      <c r="V255" s="2">
        <f t="shared" si="82"/>
        <v>150000</v>
      </c>
    </row>
    <row r="256" spans="1:22" x14ac:dyDescent="0.65">
      <c r="A256" s="3">
        <f t="shared" si="69"/>
        <v>256</v>
      </c>
      <c r="R256" s="2">
        <f t="shared" si="71"/>
        <v>8708709</v>
      </c>
      <c r="S256" s="2">
        <f t="shared" si="72"/>
        <v>2.9000000000000001E-2</v>
      </c>
      <c r="U256" s="2">
        <f t="shared" si="81"/>
        <v>700000</v>
      </c>
      <c r="V256" s="2">
        <f t="shared" si="82"/>
        <v>150000</v>
      </c>
    </row>
    <row r="257" spans="1:22" x14ac:dyDescent="0.65">
      <c r="A257" s="3">
        <f t="shared" si="69"/>
        <v>257</v>
      </c>
      <c r="R257" s="2">
        <f t="shared" si="71"/>
        <v>8708709</v>
      </c>
      <c r="S257" s="2">
        <f t="shared" si="72"/>
        <v>2.9000000000000001E-2</v>
      </c>
      <c r="U257" s="2">
        <f t="shared" si="81"/>
        <v>700000</v>
      </c>
      <c r="V257" s="2">
        <f t="shared" si="82"/>
        <v>150000</v>
      </c>
    </row>
    <row r="258" spans="1:22" x14ac:dyDescent="0.65">
      <c r="A258" s="3">
        <f t="shared" ref="A258:A321" si="83">A257+1</f>
        <v>258</v>
      </c>
      <c r="R258" s="2">
        <f t="shared" si="71"/>
        <v>8708709</v>
      </c>
      <c r="S258" s="2">
        <f t="shared" si="72"/>
        <v>2.9000000000000001E-2</v>
      </c>
      <c r="U258" s="2">
        <f t="shared" si="81"/>
        <v>700000</v>
      </c>
      <c r="V258" s="2">
        <f t="shared" si="82"/>
        <v>150000</v>
      </c>
    </row>
    <row r="259" spans="1:22" x14ac:dyDescent="0.65">
      <c r="A259" s="3">
        <f t="shared" si="83"/>
        <v>259</v>
      </c>
      <c r="R259" s="2">
        <f t="shared" si="71"/>
        <v>8708709</v>
      </c>
      <c r="S259" s="2">
        <f t="shared" si="72"/>
        <v>2.9000000000000001E-2</v>
      </c>
      <c r="U259" s="2">
        <f t="shared" si="81"/>
        <v>700000</v>
      </c>
      <c r="V259" s="2">
        <f t="shared" si="82"/>
        <v>150000</v>
      </c>
    </row>
    <row r="260" spans="1:22" x14ac:dyDescent="0.65">
      <c r="A260" s="3">
        <f t="shared" si="83"/>
        <v>260</v>
      </c>
      <c r="R260" s="2">
        <f t="shared" si="71"/>
        <v>8708709</v>
      </c>
      <c r="S260" s="2">
        <f t="shared" si="72"/>
        <v>2.9000000000000001E-2</v>
      </c>
      <c r="U260" s="2">
        <f t="shared" si="81"/>
        <v>700000</v>
      </c>
      <c r="V260" s="2">
        <f t="shared" si="82"/>
        <v>150000</v>
      </c>
    </row>
    <row r="261" spans="1:22" x14ac:dyDescent="0.65">
      <c r="A261" s="3">
        <f t="shared" si="83"/>
        <v>261</v>
      </c>
      <c r="R261" s="2">
        <f t="shared" si="71"/>
        <v>8708709</v>
      </c>
      <c r="S261" s="2">
        <f t="shared" si="72"/>
        <v>2.9000000000000001E-2</v>
      </c>
      <c r="U261" s="2">
        <f t="shared" si="81"/>
        <v>700000</v>
      </c>
      <c r="V261" s="2">
        <f t="shared" si="82"/>
        <v>150000</v>
      </c>
    </row>
    <row r="262" spans="1:22" x14ac:dyDescent="0.65">
      <c r="A262" s="3">
        <f t="shared" si="83"/>
        <v>262</v>
      </c>
      <c r="R262" s="2">
        <f t="shared" si="71"/>
        <v>8708709</v>
      </c>
    </row>
    <row r="263" spans="1:22" x14ac:dyDescent="0.65">
      <c r="A263" s="3">
        <f t="shared" si="83"/>
        <v>263</v>
      </c>
      <c r="R263" s="2">
        <f t="shared" si="71"/>
        <v>8708709</v>
      </c>
    </row>
    <row r="264" spans="1:22" x14ac:dyDescent="0.65">
      <c r="A264" s="3">
        <f t="shared" si="83"/>
        <v>264</v>
      </c>
      <c r="R264" s="2">
        <f t="shared" si="71"/>
        <v>8708709</v>
      </c>
    </row>
    <row r="265" spans="1:22" x14ac:dyDescent="0.65">
      <c r="A265" s="3">
        <f t="shared" si="83"/>
        <v>265</v>
      </c>
      <c r="R265" s="2">
        <f t="shared" ref="R265:R328" si="84">R264</f>
        <v>8708709</v>
      </c>
    </row>
    <row r="266" spans="1:22" x14ac:dyDescent="0.65">
      <c r="A266" s="3">
        <f t="shared" si="83"/>
        <v>266</v>
      </c>
      <c r="R266" s="2">
        <f t="shared" si="84"/>
        <v>8708709</v>
      </c>
    </row>
    <row r="267" spans="1:22" x14ac:dyDescent="0.65">
      <c r="A267" s="3">
        <f t="shared" si="83"/>
        <v>267</v>
      </c>
      <c r="R267" s="2">
        <f t="shared" si="84"/>
        <v>8708709</v>
      </c>
    </row>
    <row r="268" spans="1:22" x14ac:dyDescent="0.65">
      <c r="A268" s="3">
        <f t="shared" si="83"/>
        <v>268</v>
      </c>
      <c r="R268" s="2">
        <f t="shared" si="84"/>
        <v>8708709</v>
      </c>
    </row>
    <row r="269" spans="1:22" x14ac:dyDescent="0.65">
      <c r="A269" s="3">
        <f t="shared" si="83"/>
        <v>269</v>
      </c>
      <c r="R269" s="2">
        <f t="shared" si="84"/>
        <v>8708709</v>
      </c>
    </row>
    <row r="270" spans="1:22" x14ac:dyDescent="0.65">
      <c r="A270" s="3">
        <f t="shared" si="83"/>
        <v>270</v>
      </c>
      <c r="R270" s="2">
        <f t="shared" si="84"/>
        <v>8708709</v>
      </c>
    </row>
    <row r="271" spans="1:22" x14ac:dyDescent="0.65">
      <c r="A271" s="3">
        <f t="shared" si="83"/>
        <v>271</v>
      </c>
      <c r="R271" s="2">
        <f t="shared" si="84"/>
        <v>8708709</v>
      </c>
    </row>
    <row r="272" spans="1:22" x14ac:dyDescent="0.65">
      <c r="A272" s="3">
        <f t="shared" si="83"/>
        <v>272</v>
      </c>
      <c r="R272" s="2">
        <f t="shared" si="84"/>
        <v>8708709</v>
      </c>
    </row>
    <row r="273" spans="1:18" x14ac:dyDescent="0.65">
      <c r="A273" s="3">
        <f t="shared" si="83"/>
        <v>273</v>
      </c>
      <c r="R273" s="2">
        <f t="shared" si="84"/>
        <v>8708709</v>
      </c>
    </row>
    <row r="274" spans="1:18" x14ac:dyDescent="0.65">
      <c r="A274" s="3">
        <f t="shared" si="83"/>
        <v>274</v>
      </c>
      <c r="R274" s="2">
        <f t="shared" si="84"/>
        <v>8708709</v>
      </c>
    </row>
    <row r="275" spans="1:18" x14ac:dyDescent="0.65">
      <c r="A275" s="3">
        <f t="shared" si="83"/>
        <v>275</v>
      </c>
      <c r="R275" s="2">
        <f t="shared" si="84"/>
        <v>8708709</v>
      </c>
    </row>
    <row r="276" spans="1:18" x14ac:dyDescent="0.65">
      <c r="A276" s="3">
        <f t="shared" si="83"/>
        <v>276</v>
      </c>
      <c r="R276" s="2">
        <f t="shared" si="84"/>
        <v>8708709</v>
      </c>
    </row>
    <row r="277" spans="1:18" x14ac:dyDescent="0.65">
      <c r="A277" s="3">
        <f t="shared" si="83"/>
        <v>277</v>
      </c>
      <c r="R277" s="2">
        <f t="shared" si="84"/>
        <v>8708709</v>
      </c>
    </row>
    <row r="278" spans="1:18" x14ac:dyDescent="0.65">
      <c r="A278" s="3">
        <f t="shared" si="83"/>
        <v>278</v>
      </c>
      <c r="R278" s="2">
        <f t="shared" si="84"/>
        <v>8708709</v>
      </c>
    </row>
    <row r="279" spans="1:18" x14ac:dyDescent="0.65">
      <c r="A279" s="3">
        <f t="shared" si="83"/>
        <v>279</v>
      </c>
      <c r="R279" s="2">
        <f t="shared" si="84"/>
        <v>8708709</v>
      </c>
    </row>
    <row r="280" spans="1:18" x14ac:dyDescent="0.65">
      <c r="A280" s="3">
        <f t="shared" si="83"/>
        <v>280</v>
      </c>
      <c r="R280" s="2">
        <f t="shared" si="84"/>
        <v>8708709</v>
      </c>
    </row>
    <row r="281" spans="1:18" x14ac:dyDescent="0.65">
      <c r="A281" s="5">
        <f t="shared" si="83"/>
        <v>281</v>
      </c>
      <c r="R281" s="2">
        <f t="shared" si="84"/>
        <v>8708709</v>
      </c>
    </row>
    <row r="282" spans="1:18" x14ac:dyDescent="0.65">
      <c r="A282" s="3">
        <f t="shared" si="83"/>
        <v>282</v>
      </c>
      <c r="R282" s="2">
        <f t="shared" si="84"/>
        <v>8708709</v>
      </c>
    </row>
    <row r="283" spans="1:18" x14ac:dyDescent="0.65">
      <c r="A283" s="3">
        <f t="shared" si="83"/>
        <v>283</v>
      </c>
      <c r="R283" s="2">
        <f t="shared" si="84"/>
        <v>8708709</v>
      </c>
    </row>
    <row r="284" spans="1:18" x14ac:dyDescent="0.65">
      <c r="A284" s="3">
        <f t="shared" si="83"/>
        <v>284</v>
      </c>
      <c r="R284" s="2">
        <f t="shared" si="84"/>
        <v>8708709</v>
      </c>
    </row>
    <row r="285" spans="1:18" x14ac:dyDescent="0.65">
      <c r="A285" s="3">
        <f t="shared" si="83"/>
        <v>285</v>
      </c>
      <c r="R285" s="2">
        <f t="shared" si="84"/>
        <v>8708709</v>
      </c>
    </row>
    <row r="286" spans="1:18" x14ac:dyDescent="0.65">
      <c r="A286" s="3">
        <f t="shared" si="83"/>
        <v>286</v>
      </c>
      <c r="R286" s="2">
        <f t="shared" si="84"/>
        <v>8708709</v>
      </c>
    </row>
    <row r="287" spans="1:18" x14ac:dyDescent="0.65">
      <c r="A287" s="3">
        <f t="shared" si="83"/>
        <v>287</v>
      </c>
      <c r="R287" s="2">
        <f t="shared" si="84"/>
        <v>8708709</v>
      </c>
    </row>
    <row r="288" spans="1:18" x14ac:dyDescent="0.65">
      <c r="A288" s="3">
        <f t="shared" si="83"/>
        <v>288</v>
      </c>
      <c r="R288" s="2">
        <f t="shared" si="84"/>
        <v>8708709</v>
      </c>
    </row>
    <row r="289" spans="1:18" x14ac:dyDescent="0.65">
      <c r="A289" s="3">
        <f t="shared" si="83"/>
        <v>289</v>
      </c>
      <c r="R289" s="2">
        <f t="shared" si="84"/>
        <v>8708709</v>
      </c>
    </row>
    <row r="290" spans="1:18" x14ac:dyDescent="0.65">
      <c r="A290" s="3">
        <f t="shared" si="83"/>
        <v>290</v>
      </c>
      <c r="R290" s="2">
        <f t="shared" si="84"/>
        <v>8708709</v>
      </c>
    </row>
    <row r="291" spans="1:18" x14ac:dyDescent="0.65">
      <c r="A291" s="3">
        <f t="shared" si="83"/>
        <v>291</v>
      </c>
      <c r="R291" s="2">
        <f t="shared" si="84"/>
        <v>8708709</v>
      </c>
    </row>
    <row r="292" spans="1:18" x14ac:dyDescent="0.65">
      <c r="A292" s="3">
        <f t="shared" si="83"/>
        <v>292</v>
      </c>
      <c r="R292" s="2">
        <f t="shared" si="84"/>
        <v>8708709</v>
      </c>
    </row>
    <row r="293" spans="1:18" x14ac:dyDescent="0.65">
      <c r="A293" s="3">
        <f t="shared" si="83"/>
        <v>293</v>
      </c>
      <c r="R293" s="2">
        <f t="shared" si="84"/>
        <v>8708709</v>
      </c>
    </row>
    <row r="294" spans="1:18" x14ac:dyDescent="0.65">
      <c r="A294" s="3">
        <f t="shared" si="83"/>
        <v>294</v>
      </c>
      <c r="R294" s="2">
        <f t="shared" si="84"/>
        <v>8708709</v>
      </c>
    </row>
    <row r="295" spans="1:18" x14ac:dyDescent="0.65">
      <c r="A295" s="3">
        <f t="shared" si="83"/>
        <v>295</v>
      </c>
      <c r="R295" s="2">
        <f t="shared" si="84"/>
        <v>8708709</v>
      </c>
    </row>
    <row r="296" spans="1:18" x14ac:dyDescent="0.65">
      <c r="A296" s="3">
        <f t="shared" si="83"/>
        <v>296</v>
      </c>
      <c r="R296" s="2">
        <f t="shared" si="84"/>
        <v>8708709</v>
      </c>
    </row>
    <row r="297" spans="1:18" x14ac:dyDescent="0.65">
      <c r="A297" s="3">
        <f t="shared" si="83"/>
        <v>297</v>
      </c>
      <c r="R297" s="2">
        <f t="shared" si="84"/>
        <v>8708709</v>
      </c>
    </row>
    <row r="298" spans="1:18" x14ac:dyDescent="0.65">
      <c r="A298" s="3">
        <f t="shared" si="83"/>
        <v>298</v>
      </c>
      <c r="R298" s="2">
        <f t="shared" si="84"/>
        <v>8708709</v>
      </c>
    </row>
    <row r="299" spans="1:18" x14ac:dyDescent="0.65">
      <c r="A299" s="3">
        <f t="shared" si="83"/>
        <v>299</v>
      </c>
      <c r="R299" s="2">
        <f t="shared" si="84"/>
        <v>8708709</v>
      </c>
    </row>
    <row r="300" spans="1:18" x14ac:dyDescent="0.65">
      <c r="A300" s="3">
        <f t="shared" si="83"/>
        <v>300</v>
      </c>
      <c r="R300" s="2">
        <f t="shared" si="84"/>
        <v>8708709</v>
      </c>
    </row>
    <row r="301" spans="1:18" x14ac:dyDescent="0.65">
      <c r="A301" s="3">
        <f t="shared" si="83"/>
        <v>301</v>
      </c>
      <c r="R301" s="2">
        <f t="shared" si="84"/>
        <v>8708709</v>
      </c>
    </row>
    <row r="302" spans="1:18" x14ac:dyDescent="0.65">
      <c r="A302" s="3">
        <f t="shared" si="83"/>
        <v>302</v>
      </c>
      <c r="R302" s="2">
        <f t="shared" si="84"/>
        <v>8708709</v>
      </c>
    </row>
    <row r="303" spans="1:18" x14ac:dyDescent="0.65">
      <c r="A303" s="3">
        <f t="shared" si="83"/>
        <v>303</v>
      </c>
      <c r="R303" s="2">
        <f t="shared" si="84"/>
        <v>8708709</v>
      </c>
    </row>
    <row r="304" spans="1:18" x14ac:dyDescent="0.65">
      <c r="A304" s="3">
        <f t="shared" si="83"/>
        <v>304</v>
      </c>
      <c r="R304" s="2">
        <f t="shared" si="84"/>
        <v>8708709</v>
      </c>
    </row>
    <row r="305" spans="1:18" x14ac:dyDescent="0.65">
      <c r="A305" s="3">
        <f t="shared" si="83"/>
        <v>305</v>
      </c>
      <c r="R305" s="2">
        <f t="shared" si="84"/>
        <v>8708709</v>
      </c>
    </row>
    <row r="306" spans="1:18" x14ac:dyDescent="0.65">
      <c r="A306" s="3">
        <f t="shared" si="83"/>
        <v>306</v>
      </c>
      <c r="R306" s="2">
        <f t="shared" si="84"/>
        <v>8708709</v>
      </c>
    </row>
    <row r="307" spans="1:18" x14ac:dyDescent="0.65">
      <c r="A307" s="3">
        <f t="shared" si="83"/>
        <v>307</v>
      </c>
      <c r="R307" s="2">
        <f t="shared" si="84"/>
        <v>8708709</v>
      </c>
    </row>
    <row r="308" spans="1:18" x14ac:dyDescent="0.65">
      <c r="A308" s="3">
        <f t="shared" si="83"/>
        <v>308</v>
      </c>
      <c r="R308" s="2">
        <f t="shared" si="84"/>
        <v>8708709</v>
      </c>
    </row>
    <row r="309" spans="1:18" x14ac:dyDescent="0.65">
      <c r="A309" s="3">
        <f t="shared" si="83"/>
        <v>309</v>
      </c>
      <c r="R309" s="2">
        <f t="shared" si="84"/>
        <v>8708709</v>
      </c>
    </row>
    <row r="310" spans="1:18" x14ac:dyDescent="0.65">
      <c r="A310" s="3">
        <f t="shared" si="83"/>
        <v>310</v>
      </c>
      <c r="R310" s="2">
        <f t="shared" si="84"/>
        <v>8708709</v>
      </c>
    </row>
    <row r="311" spans="1:18" x14ac:dyDescent="0.65">
      <c r="A311" s="3">
        <f t="shared" si="83"/>
        <v>311</v>
      </c>
      <c r="R311" s="2">
        <f t="shared" si="84"/>
        <v>8708709</v>
      </c>
    </row>
    <row r="312" spans="1:18" x14ac:dyDescent="0.65">
      <c r="A312" s="3">
        <f t="shared" si="83"/>
        <v>312</v>
      </c>
      <c r="R312" s="2">
        <f t="shared" si="84"/>
        <v>8708709</v>
      </c>
    </row>
    <row r="313" spans="1:18" x14ac:dyDescent="0.65">
      <c r="A313" s="3">
        <f t="shared" si="83"/>
        <v>313</v>
      </c>
      <c r="R313" s="2">
        <f t="shared" si="84"/>
        <v>8708709</v>
      </c>
    </row>
    <row r="314" spans="1:18" x14ac:dyDescent="0.65">
      <c r="A314" s="3">
        <f t="shared" si="83"/>
        <v>314</v>
      </c>
      <c r="R314" s="2">
        <f t="shared" si="84"/>
        <v>8708709</v>
      </c>
    </row>
    <row r="315" spans="1:18" x14ac:dyDescent="0.65">
      <c r="A315" s="3">
        <f t="shared" si="83"/>
        <v>315</v>
      </c>
      <c r="R315" s="2">
        <f t="shared" si="84"/>
        <v>8708709</v>
      </c>
    </row>
    <row r="316" spans="1:18" x14ac:dyDescent="0.65">
      <c r="A316" s="3">
        <f t="shared" si="83"/>
        <v>316</v>
      </c>
      <c r="R316" s="2">
        <f t="shared" si="84"/>
        <v>8708709</v>
      </c>
    </row>
    <row r="317" spans="1:18" x14ac:dyDescent="0.65">
      <c r="A317" s="3">
        <f t="shared" si="83"/>
        <v>317</v>
      </c>
      <c r="R317" s="2">
        <f t="shared" si="84"/>
        <v>8708709</v>
      </c>
    </row>
    <row r="318" spans="1:18" x14ac:dyDescent="0.65">
      <c r="A318" s="3">
        <f t="shared" si="83"/>
        <v>318</v>
      </c>
      <c r="R318" s="2">
        <f t="shared" si="84"/>
        <v>8708709</v>
      </c>
    </row>
    <row r="319" spans="1:18" x14ac:dyDescent="0.65">
      <c r="A319" s="3">
        <f t="shared" si="83"/>
        <v>319</v>
      </c>
      <c r="R319" s="2">
        <f t="shared" si="84"/>
        <v>8708709</v>
      </c>
    </row>
    <row r="320" spans="1:18" x14ac:dyDescent="0.65">
      <c r="A320" s="3">
        <f t="shared" si="83"/>
        <v>320</v>
      </c>
      <c r="R320" s="2">
        <f t="shared" si="84"/>
        <v>8708709</v>
      </c>
    </row>
    <row r="321" spans="1:18" x14ac:dyDescent="0.65">
      <c r="A321" s="3">
        <f t="shared" si="83"/>
        <v>321</v>
      </c>
      <c r="R321" s="2">
        <f t="shared" si="84"/>
        <v>8708709</v>
      </c>
    </row>
    <row r="322" spans="1:18" x14ac:dyDescent="0.65">
      <c r="A322" s="3">
        <f t="shared" ref="A322:A385" si="85">A321+1</f>
        <v>322</v>
      </c>
      <c r="R322" s="2">
        <f t="shared" si="84"/>
        <v>8708709</v>
      </c>
    </row>
    <row r="323" spans="1:18" x14ac:dyDescent="0.65">
      <c r="A323" s="3">
        <f t="shared" si="85"/>
        <v>323</v>
      </c>
      <c r="R323" s="2">
        <f t="shared" si="84"/>
        <v>8708709</v>
      </c>
    </row>
    <row r="324" spans="1:18" x14ac:dyDescent="0.65">
      <c r="A324" s="3">
        <f t="shared" si="85"/>
        <v>324</v>
      </c>
      <c r="R324" s="2">
        <f t="shared" si="84"/>
        <v>8708709</v>
      </c>
    </row>
    <row r="325" spans="1:18" x14ac:dyDescent="0.65">
      <c r="A325" s="3">
        <f t="shared" si="85"/>
        <v>325</v>
      </c>
      <c r="R325" s="2">
        <f t="shared" si="84"/>
        <v>8708709</v>
      </c>
    </row>
    <row r="326" spans="1:18" x14ac:dyDescent="0.65">
      <c r="A326" s="3">
        <f t="shared" si="85"/>
        <v>326</v>
      </c>
      <c r="R326" s="2">
        <f t="shared" si="84"/>
        <v>8708709</v>
      </c>
    </row>
    <row r="327" spans="1:18" x14ac:dyDescent="0.65">
      <c r="A327" s="3">
        <f t="shared" si="85"/>
        <v>327</v>
      </c>
      <c r="R327" s="2">
        <f t="shared" si="84"/>
        <v>8708709</v>
      </c>
    </row>
    <row r="328" spans="1:18" x14ac:dyDescent="0.65">
      <c r="A328" s="3">
        <f t="shared" si="85"/>
        <v>328</v>
      </c>
      <c r="R328" s="2">
        <f t="shared" si="84"/>
        <v>8708709</v>
      </c>
    </row>
    <row r="329" spans="1:18" x14ac:dyDescent="0.65">
      <c r="A329" s="3">
        <f t="shared" si="85"/>
        <v>329</v>
      </c>
      <c r="R329" s="2">
        <f t="shared" ref="R329:R344" si="86">R328</f>
        <v>8708709</v>
      </c>
    </row>
    <row r="330" spans="1:18" x14ac:dyDescent="0.65">
      <c r="A330" s="3">
        <f t="shared" si="85"/>
        <v>330</v>
      </c>
      <c r="R330" s="2">
        <f t="shared" si="86"/>
        <v>8708709</v>
      </c>
    </row>
    <row r="331" spans="1:18" x14ac:dyDescent="0.65">
      <c r="A331" s="3">
        <f t="shared" si="85"/>
        <v>331</v>
      </c>
      <c r="R331" s="2">
        <f t="shared" si="86"/>
        <v>8708709</v>
      </c>
    </row>
    <row r="332" spans="1:18" x14ac:dyDescent="0.65">
      <c r="A332" s="3">
        <f t="shared" si="85"/>
        <v>332</v>
      </c>
      <c r="R332" s="2">
        <f t="shared" si="86"/>
        <v>8708709</v>
      </c>
    </row>
    <row r="333" spans="1:18" x14ac:dyDescent="0.65">
      <c r="A333" s="3">
        <f t="shared" si="85"/>
        <v>333</v>
      </c>
      <c r="R333" s="2">
        <f t="shared" si="86"/>
        <v>8708709</v>
      </c>
    </row>
    <row r="334" spans="1:18" x14ac:dyDescent="0.65">
      <c r="A334" s="3">
        <f t="shared" si="85"/>
        <v>334</v>
      </c>
      <c r="R334" s="2">
        <f t="shared" si="86"/>
        <v>8708709</v>
      </c>
    </row>
    <row r="335" spans="1:18" x14ac:dyDescent="0.65">
      <c r="A335" s="3">
        <f t="shared" si="85"/>
        <v>335</v>
      </c>
      <c r="R335" s="2">
        <f t="shared" si="86"/>
        <v>8708709</v>
      </c>
    </row>
    <row r="336" spans="1:18" x14ac:dyDescent="0.65">
      <c r="A336" s="3">
        <f t="shared" si="85"/>
        <v>336</v>
      </c>
      <c r="R336" s="2">
        <f t="shared" si="86"/>
        <v>8708709</v>
      </c>
    </row>
    <row r="337" spans="1:18" x14ac:dyDescent="0.65">
      <c r="A337" s="3">
        <f t="shared" si="85"/>
        <v>337</v>
      </c>
      <c r="R337" s="2">
        <f t="shared" si="86"/>
        <v>8708709</v>
      </c>
    </row>
    <row r="338" spans="1:18" x14ac:dyDescent="0.65">
      <c r="A338" s="3">
        <f t="shared" si="85"/>
        <v>338</v>
      </c>
      <c r="R338" s="2">
        <f t="shared" si="86"/>
        <v>8708709</v>
      </c>
    </row>
    <row r="339" spans="1:18" x14ac:dyDescent="0.65">
      <c r="A339" s="3">
        <f t="shared" si="85"/>
        <v>339</v>
      </c>
      <c r="R339" s="2">
        <f t="shared" si="86"/>
        <v>8708709</v>
      </c>
    </row>
    <row r="340" spans="1:18" x14ac:dyDescent="0.65">
      <c r="A340" s="3">
        <f t="shared" si="85"/>
        <v>340</v>
      </c>
      <c r="R340" s="2">
        <f t="shared" si="86"/>
        <v>8708709</v>
      </c>
    </row>
    <row r="341" spans="1:18" x14ac:dyDescent="0.65">
      <c r="A341" s="3">
        <f t="shared" si="85"/>
        <v>341</v>
      </c>
      <c r="R341" s="2">
        <f t="shared" si="86"/>
        <v>8708709</v>
      </c>
    </row>
    <row r="342" spans="1:18" x14ac:dyDescent="0.65">
      <c r="A342" s="3">
        <f t="shared" si="85"/>
        <v>342</v>
      </c>
      <c r="R342" s="2">
        <f t="shared" si="86"/>
        <v>8708709</v>
      </c>
    </row>
    <row r="343" spans="1:18" x14ac:dyDescent="0.65">
      <c r="A343" s="3">
        <f t="shared" si="85"/>
        <v>343</v>
      </c>
      <c r="R343" s="2">
        <f t="shared" si="86"/>
        <v>8708709</v>
      </c>
    </row>
    <row r="344" spans="1:18" x14ac:dyDescent="0.65">
      <c r="A344" s="3">
        <f t="shared" si="85"/>
        <v>344</v>
      </c>
      <c r="R344" s="2">
        <f t="shared" si="86"/>
        <v>8708709</v>
      </c>
    </row>
    <row r="345" spans="1:18" x14ac:dyDescent="0.65">
      <c r="A345" s="3">
        <f t="shared" si="85"/>
        <v>345</v>
      </c>
    </row>
    <row r="346" spans="1:18" x14ac:dyDescent="0.65">
      <c r="A346" s="3">
        <f t="shared" si="85"/>
        <v>346</v>
      </c>
    </row>
    <row r="347" spans="1:18" x14ac:dyDescent="0.65">
      <c r="A347" s="3">
        <f t="shared" si="85"/>
        <v>347</v>
      </c>
    </row>
    <row r="348" spans="1:18" x14ac:dyDescent="0.65">
      <c r="A348" s="3">
        <f t="shared" si="85"/>
        <v>348</v>
      </c>
    </row>
    <row r="349" spans="1:18" x14ac:dyDescent="0.65">
      <c r="A349" s="3">
        <f t="shared" si="85"/>
        <v>349</v>
      </c>
    </row>
    <row r="350" spans="1:18" x14ac:dyDescent="0.65">
      <c r="A350" s="3">
        <f t="shared" si="85"/>
        <v>350</v>
      </c>
    </row>
    <row r="351" spans="1:18" x14ac:dyDescent="0.65">
      <c r="A351" s="3">
        <f t="shared" si="85"/>
        <v>351</v>
      </c>
    </row>
    <row r="352" spans="1:18" x14ac:dyDescent="0.65">
      <c r="A352" s="3">
        <f t="shared" si="85"/>
        <v>352</v>
      </c>
    </row>
    <row r="353" spans="1:1" x14ac:dyDescent="0.65">
      <c r="A353" s="3">
        <f t="shared" si="85"/>
        <v>353</v>
      </c>
    </row>
    <row r="354" spans="1:1" x14ac:dyDescent="0.65">
      <c r="A354" s="3">
        <f t="shared" si="85"/>
        <v>354</v>
      </c>
    </row>
    <row r="355" spans="1:1" x14ac:dyDescent="0.65">
      <c r="A355" s="3">
        <f t="shared" si="85"/>
        <v>355</v>
      </c>
    </row>
    <row r="356" spans="1:1" x14ac:dyDescent="0.65">
      <c r="A356" s="3">
        <f t="shared" si="85"/>
        <v>356</v>
      </c>
    </row>
    <row r="357" spans="1:1" x14ac:dyDescent="0.65">
      <c r="A357" s="3">
        <f t="shared" si="85"/>
        <v>357</v>
      </c>
    </row>
    <row r="358" spans="1:1" x14ac:dyDescent="0.65">
      <c r="A358" s="3">
        <f t="shared" si="85"/>
        <v>358</v>
      </c>
    </row>
    <row r="359" spans="1:1" x14ac:dyDescent="0.65">
      <c r="A359" s="3">
        <f t="shared" si="85"/>
        <v>359</v>
      </c>
    </row>
    <row r="360" spans="1:1" x14ac:dyDescent="0.65">
      <c r="A360" s="3">
        <f t="shared" si="85"/>
        <v>360</v>
      </c>
    </row>
    <row r="361" spans="1:1" x14ac:dyDescent="0.65">
      <c r="A361" s="3">
        <f t="shared" si="85"/>
        <v>361</v>
      </c>
    </row>
    <row r="362" spans="1:1" x14ac:dyDescent="0.65">
      <c r="A362" s="3">
        <f t="shared" si="85"/>
        <v>362</v>
      </c>
    </row>
    <row r="363" spans="1:1" x14ac:dyDescent="0.65">
      <c r="A363" s="3">
        <f t="shared" si="85"/>
        <v>363</v>
      </c>
    </row>
    <row r="364" spans="1:1" x14ac:dyDescent="0.65">
      <c r="A364" s="3">
        <f t="shared" si="85"/>
        <v>364</v>
      </c>
    </row>
    <row r="365" spans="1:1" x14ac:dyDescent="0.65">
      <c r="A365" s="3">
        <f t="shared" si="85"/>
        <v>365</v>
      </c>
    </row>
    <row r="366" spans="1:1" x14ac:dyDescent="0.65">
      <c r="A366" s="3">
        <f t="shared" si="85"/>
        <v>366</v>
      </c>
    </row>
    <row r="367" spans="1:1" x14ac:dyDescent="0.65">
      <c r="A367" s="3">
        <f t="shared" si="85"/>
        <v>367</v>
      </c>
    </row>
    <row r="368" spans="1:1" x14ac:dyDescent="0.65">
      <c r="A368" s="3">
        <f t="shared" si="85"/>
        <v>368</v>
      </c>
    </row>
    <row r="369" spans="1:1" x14ac:dyDescent="0.65">
      <c r="A369" s="3">
        <f t="shared" si="85"/>
        <v>369</v>
      </c>
    </row>
    <row r="370" spans="1:1" x14ac:dyDescent="0.65">
      <c r="A370" s="3">
        <f t="shared" si="85"/>
        <v>370</v>
      </c>
    </row>
    <row r="371" spans="1:1" x14ac:dyDescent="0.65">
      <c r="A371" s="3">
        <f t="shared" si="85"/>
        <v>371</v>
      </c>
    </row>
    <row r="372" spans="1:1" x14ac:dyDescent="0.65">
      <c r="A372" s="3">
        <f t="shared" si="85"/>
        <v>372</v>
      </c>
    </row>
    <row r="373" spans="1:1" x14ac:dyDescent="0.65">
      <c r="A373" s="3">
        <f t="shared" si="85"/>
        <v>373</v>
      </c>
    </row>
    <row r="374" spans="1:1" x14ac:dyDescent="0.65">
      <c r="A374" s="3">
        <f t="shared" si="85"/>
        <v>374</v>
      </c>
    </row>
    <row r="375" spans="1:1" x14ac:dyDescent="0.65">
      <c r="A375" s="3">
        <f t="shared" si="85"/>
        <v>375</v>
      </c>
    </row>
    <row r="376" spans="1:1" x14ac:dyDescent="0.65">
      <c r="A376" s="3">
        <f t="shared" si="85"/>
        <v>376</v>
      </c>
    </row>
    <row r="377" spans="1:1" x14ac:dyDescent="0.65">
      <c r="A377" s="3">
        <f t="shared" si="85"/>
        <v>377</v>
      </c>
    </row>
    <row r="378" spans="1:1" x14ac:dyDescent="0.65">
      <c r="A378" s="3">
        <f t="shared" si="85"/>
        <v>378</v>
      </c>
    </row>
    <row r="379" spans="1:1" x14ac:dyDescent="0.65">
      <c r="A379" s="3">
        <f t="shared" si="85"/>
        <v>379</v>
      </c>
    </row>
    <row r="380" spans="1:1" x14ac:dyDescent="0.65">
      <c r="A380" s="3">
        <f t="shared" si="85"/>
        <v>380</v>
      </c>
    </row>
    <row r="381" spans="1:1" x14ac:dyDescent="0.65">
      <c r="A381" s="3">
        <f t="shared" si="85"/>
        <v>381</v>
      </c>
    </row>
    <row r="382" spans="1:1" x14ac:dyDescent="0.65">
      <c r="A382" s="3">
        <f t="shared" si="85"/>
        <v>382</v>
      </c>
    </row>
    <row r="383" spans="1:1" x14ac:dyDescent="0.65">
      <c r="A383" s="3">
        <f t="shared" si="85"/>
        <v>383</v>
      </c>
    </row>
    <row r="384" spans="1:1" x14ac:dyDescent="0.65">
      <c r="A384" s="3">
        <f t="shared" si="85"/>
        <v>384</v>
      </c>
    </row>
    <row r="385" spans="1:1" x14ac:dyDescent="0.65">
      <c r="A385" s="3">
        <f t="shared" si="85"/>
        <v>385</v>
      </c>
    </row>
    <row r="386" spans="1:1" x14ac:dyDescent="0.65">
      <c r="A386" s="3">
        <f t="shared" ref="A386:A449" si="87">A385+1</f>
        <v>386</v>
      </c>
    </row>
    <row r="387" spans="1:1" x14ac:dyDescent="0.65">
      <c r="A387" s="3">
        <f t="shared" si="87"/>
        <v>387</v>
      </c>
    </row>
    <row r="388" spans="1:1" x14ac:dyDescent="0.65">
      <c r="A388" s="3">
        <f t="shared" si="87"/>
        <v>388</v>
      </c>
    </row>
    <row r="389" spans="1:1" x14ac:dyDescent="0.65">
      <c r="A389" s="3">
        <f t="shared" si="87"/>
        <v>389</v>
      </c>
    </row>
    <row r="390" spans="1:1" x14ac:dyDescent="0.65">
      <c r="A390" s="3">
        <f t="shared" si="87"/>
        <v>390</v>
      </c>
    </row>
    <row r="391" spans="1:1" x14ac:dyDescent="0.65">
      <c r="A391" s="3">
        <f t="shared" si="87"/>
        <v>391</v>
      </c>
    </row>
    <row r="392" spans="1:1" x14ac:dyDescent="0.65">
      <c r="A392" s="3">
        <f t="shared" si="87"/>
        <v>392</v>
      </c>
    </row>
    <row r="393" spans="1:1" x14ac:dyDescent="0.65">
      <c r="A393" s="3">
        <f t="shared" si="87"/>
        <v>393</v>
      </c>
    </row>
    <row r="394" spans="1:1" x14ac:dyDescent="0.65">
      <c r="A394" s="3">
        <f t="shared" si="87"/>
        <v>394</v>
      </c>
    </row>
    <row r="395" spans="1:1" x14ac:dyDescent="0.65">
      <c r="A395" s="3">
        <f t="shared" si="87"/>
        <v>395</v>
      </c>
    </row>
    <row r="396" spans="1:1" x14ac:dyDescent="0.65">
      <c r="A396" s="3">
        <f t="shared" si="87"/>
        <v>396</v>
      </c>
    </row>
    <row r="397" spans="1:1" x14ac:dyDescent="0.65">
      <c r="A397" s="3">
        <f t="shared" si="87"/>
        <v>397</v>
      </c>
    </row>
    <row r="398" spans="1:1" x14ac:dyDescent="0.65">
      <c r="A398" s="3">
        <f t="shared" si="87"/>
        <v>398</v>
      </c>
    </row>
    <row r="399" spans="1:1" x14ac:dyDescent="0.65">
      <c r="A399" s="3">
        <f t="shared" si="87"/>
        <v>399</v>
      </c>
    </row>
    <row r="400" spans="1:1" x14ac:dyDescent="0.65">
      <c r="A400" s="3">
        <f t="shared" si="87"/>
        <v>400</v>
      </c>
    </row>
    <row r="401" spans="1:1" x14ac:dyDescent="0.65">
      <c r="A401" s="3">
        <f t="shared" si="87"/>
        <v>401</v>
      </c>
    </row>
    <row r="402" spans="1:1" x14ac:dyDescent="0.65">
      <c r="A402" s="3">
        <f t="shared" si="87"/>
        <v>402</v>
      </c>
    </row>
    <row r="403" spans="1:1" x14ac:dyDescent="0.65">
      <c r="A403" s="3">
        <f t="shared" si="87"/>
        <v>403</v>
      </c>
    </row>
    <row r="404" spans="1:1" x14ac:dyDescent="0.65">
      <c r="A404" s="3">
        <f t="shared" si="87"/>
        <v>404</v>
      </c>
    </row>
    <row r="405" spans="1:1" x14ac:dyDescent="0.65">
      <c r="A405" s="3">
        <f t="shared" si="87"/>
        <v>405</v>
      </c>
    </row>
    <row r="406" spans="1:1" x14ac:dyDescent="0.65">
      <c r="A406" s="3">
        <f t="shared" si="87"/>
        <v>406</v>
      </c>
    </row>
    <row r="407" spans="1:1" x14ac:dyDescent="0.65">
      <c r="A407" s="3">
        <f t="shared" si="87"/>
        <v>407</v>
      </c>
    </row>
    <row r="408" spans="1:1" x14ac:dyDescent="0.65">
      <c r="A408" s="3">
        <f t="shared" si="87"/>
        <v>408</v>
      </c>
    </row>
    <row r="409" spans="1:1" x14ac:dyDescent="0.65">
      <c r="A409" s="3">
        <f t="shared" si="87"/>
        <v>409</v>
      </c>
    </row>
    <row r="410" spans="1:1" x14ac:dyDescent="0.65">
      <c r="A410" s="3">
        <f t="shared" si="87"/>
        <v>410</v>
      </c>
    </row>
    <row r="411" spans="1:1" x14ac:dyDescent="0.65">
      <c r="A411" s="3">
        <f t="shared" si="87"/>
        <v>411</v>
      </c>
    </row>
    <row r="412" spans="1:1" x14ac:dyDescent="0.65">
      <c r="A412" s="3">
        <f t="shared" si="87"/>
        <v>412</v>
      </c>
    </row>
    <row r="413" spans="1:1" x14ac:dyDescent="0.65">
      <c r="A413" s="3">
        <f t="shared" si="87"/>
        <v>413</v>
      </c>
    </row>
    <row r="414" spans="1:1" x14ac:dyDescent="0.65">
      <c r="A414" s="3">
        <f t="shared" si="87"/>
        <v>414</v>
      </c>
    </row>
    <row r="415" spans="1:1" x14ac:dyDescent="0.65">
      <c r="A415" s="3">
        <f t="shared" si="87"/>
        <v>415</v>
      </c>
    </row>
    <row r="416" spans="1:1" x14ac:dyDescent="0.65">
      <c r="A416" s="3">
        <f t="shared" si="87"/>
        <v>416</v>
      </c>
    </row>
    <row r="417" spans="1:1" x14ac:dyDescent="0.65">
      <c r="A417" s="3">
        <f t="shared" si="87"/>
        <v>417</v>
      </c>
    </row>
    <row r="418" spans="1:1" x14ac:dyDescent="0.65">
      <c r="A418" s="3">
        <f t="shared" si="87"/>
        <v>418</v>
      </c>
    </row>
    <row r="419" spans="1:1" x14ac:dyDescent="0.65">
      <c r="A419" s="3">
        <f t="shared" si="87"/>
        <v>419</v>
      </c>
    </row>
    <row r="420" spans="1:1" x14ac:dyDescent="0.65">
      <c r="A420" s="3">
        <f t="shared" si="87"/>
        <v>420</v>
      </c>
    </row>
    <row r="421" spans="1:1" x14ac:dyDescent="0.65">
      <c r="A421" s="3">
        <f t="shared" si="87"/>
        <v>421</v>
      </c>
    </row>
    <row r="422" spans="1:1" x14ac:dyDescent="0.65">
      <c r="A422" s="3">
        <f t="shared" si="87"/>
        <v>422</v>
      </c>
    </row>
    <row r="423" spans="1:1" x14ac:dyDescent="0.65">
      <c r="A423" s="3">
        <f t="shared" si="87"/>
        <v>423</v>
      </c>
    </row>
    <row r="424" spans="1:1" x14ac:dyDescent="0.65">
      <c r="A424" s="3">
        <f t="shared" si="87"/>
        <v>424</v>
      </c>
    </row>
    <row r="425" spans="1:1" x14ac:dyDescent="0.65">
      <c r="A425" s="3">
        <f t="shared" si="87"/>
        <v>425</v>
      </c>
    </row>
    <row r="426" spans="1:1" x14ac:dyDescent="0.65">
      <c r="A426" s="3">
        <f t="shared" si="87"/>
        <v>426</v>
      </c>
    </row>
    <row r="427" spans="1:1" x14ac:dyDescent="0.65">
      <c r="A427" s="3">
        <f t="shared" si="87"/>
        <v>427</v>
      </c>
    </row>
    <row r="428" spans="1:1" x14ac:dyDescent="0.65">
      <c r="A428" s="3">
        <f t="shared" si="87"/>
        <v>428</v>
      </c>
    </row>
    <row r="429" spans="1:1" x14ac:dyDescent="0.65">
      <c r="A429" s="3">
        <f t="shared" si="87"/>
        <v>429</v>
      </c>
    </row>
    <row r="430" spans="1:1" x14ac:dyDescent="0.65">
      <c r="A430" s="3">
        <f t="shared" si="87"/>
        <v>430</v>
      </c>
    </row>
    <row r="431" spans="1:1" x14ac:dyDescent="0.65">
      <c r="A431" s="3">
        <f t="shared" si="87"/>
        <v>431</v>
      </c>
    </row>
    <row r="432" spans="1:1" x14ac:dyDescent="0.65">
      <c r="A432" s="3">
        <f t="shared" si="87"/>
        <v>432</v>
      </c>
    </row>
    <row r="433" spans="1:1" x14ac:dyDescent="0.65">
      <c r="A433" s="3">
        <f t="shared" si="87"/>
        <v>433</v>
      </c>
    </row>
    <row r="434" spans="1:1" x14ac:dyDescent="0.65">
      <c r="A434" s="3">
        <f t="shared" si="87"/>
        <v>434</v>
      </c>
    </row>
    <row r="435" spans="1:1" x14ac:dyDescent="0.65">
      <c r="A435" s="3">
        <f t="shared" si="87"/>
        <v>435</v>
      </c>
    </row>
    <row r="436" spans="1:1" x14ac:dyDescent="0.65">
      <c r="A436" s="3">
        <f t="shared" si="87"/>
        <v>436</v>
      </c>
    </row>
    <row r="437" spans="1:1" x14ac:dyDescent="0.65">
      <c r="A437" s="3">
        <f t="shared" si="87"/>
        <v>437</v>
      </c>
    </row>
    <row r="438" spans="1:1" x14ac:dyDescent="0.65">
      <c r="A438" s="3">
        <f t="shared" si="87"/>
        <v>438</v>
      </c>
    </row>
    <row r="439" spans="1:1" x14ac:dyDescent="0.65">
      <c r="A439" s="3">
        <f t="shared" si="87"/>
        <v>439</v>
      </c>
    </row>
    <row r="440" spans="1:1" x14ac:dyDescent="0.65">
      <c r="A440" s="3">
        <f t="shared" si="87"/>
        <v>440</v>
      </c>
    </row>
    <row r="441" spans="1:1" x14ac:dyDescent="0.65">
      <c r="A441" s="3">
        <f t="shared" si="87"/>
        <v>441</v>
      </c>
    </row>
    <row r="442" spans="1:1" x14ac:dyDescent="0.65">
      <c r="A442" s="3">
        <f t="shared" si="87"/>
        <v>442</v>
      </c>
    </row>
    <row r="443" spans="1:1" x14ac:dyDescent="0.65">
      <c r="A443" s="3">
        <f t="shared" si="87"/>
        <v>443</v>
      </c>
    </row>
    <row r="444" spans="1:1" x14ac:dyDescent="0.65">
      <c r="A444" s="3">
        <f t="shared" si="87"/>
        <v>444</v>
      </c>
    </row>
    <row r="445" spans="1:1" x14ac:dyDescent="0.65">
      <c r="A445" s="3">
        <f t="shared" si="87"/>
        <v>445</v>
      </c>
    </row>
    <row r="446" spans="1:1" x14ac:dyDescent="0.65">
      <c r="A446" s="3">
        <f t="shared" si="87"/>
        <v>446</v>
      </c>
    </row>
    <row r="447" spans="1:1" x14ac:dyDescent="0.65">
      <c r="A447" s="3">
        <f t="shared" si="87"/>
        <v>447</v>
      </c>
    </row>
    <row r="448" spans="1:1" x14ac:dyDescent="0.65">
      <c r="A448" s="3">
        <f t="shared" si="87"/>
        <v>448</v>
      </c>
    </row>
    <row r="449" spans="1:1" x14ac:dyDescent="0.65">
      <c r="A449" s="3">
        <f t="shared" si="87"/>
        <v>449</v>
      </c>
    </row>
    <row r="450" spans="1:1" x14ac:dyDescent="0.65">
      <c r="A450" s="3">
        <f t="shared" ref="A450:A513" si="88">A449+1</f>
        <v>450</v>
      </c>
    </row>
    <row r="451" spans="1:1" x14ac:dyDescent="0.65">
      <c r="A451" s="3">
        <f t="shared" si="88"/>
        <v>451</v>
      </c>
    </row>
    <row r="452" spans="1:1" x14ac:dyDescent="0.65">
      <c r="A452" s="3">
        <f t="shared" si="88"/>
        <v>452</v>
      </c>
    </row>
    <row r="453" spans="1:1" x14ac:dyDescent="0.65">
      <c r="A453" s="3">
        <f t="shared" si="88"/>
        <v>453</v>
      </c>
    </row>
    <row r="454" spans="1:1" x14ac:dyDescent="0.65">
      <c r="A454" s="3">
        <f t="shared" si="88"/>
        <v>454</v>
      </c>
    </row>
    <row r="455" spans="1:1" x14ac:dyDescent="0.65">
      <c r="A455" s="3">
        <f t="shared" si="88"/>
        <v>455</v>
      </c>
    </row>
    <row r="456" spans="1:1" x14ac:dyDescent="0.65">
      <c r="A456" s="3">
        <f t="shared" si="88"/>
        <v>456</v>
      </c>
    </row>
    <row r="457" spans="1:1" x14ac:dyDescent="0.65">
      <c r="A457" s="3">
        <f t="shared" si="88"/>
        <v>457</v>
      </c>
    </row>
    <row r="458" spans="1:1" x14ac:dyDescent="0.65">
      <c r="A458" s="3">
        <f t="shared" si="88"/>
        <v>458</v>
      </c>
    </row>
    <row r="459" spans="1:1" x14ac:dyDescent="0.65">
      <c r="A459" s="3">
        <f t="shared" si="88"/>
        <v>459</v>
      </c>
    </row>
    <row r="460" spans="1:1" x14ac:dyDescent="0.65">
      <c r="A460" s="3">
        <f t="shared" si="88"/>
        <v>460</v>
      </c>
    </row>
    <row r="461" spans="1:1" x14ac:dyDescent="0.65">
      <c r="A461" s="3">
        <f t="shared" si="88"/>
        <v>461</v>
      </c>
    </row>
    <row r="462" spans="1:1" x14ac:dyDescent="0.65">
      <c r="A462" s="3">
        <f t="shared" si="88"/>
        <v>462</v>
      </c>
    </row>
    <row r="463" spans="1:1" x14ac:dyDescent="0.65">
      <c r="A463" s="3">
        <f t="shared" si="88"/>
        <v>463</v>
      </c>
    </row>
    <row r="464" spans="1:1" x14ac:dyDescent="0.65">
      <c r="A464" s="3">
        <f t="shared" si="88"/>
        <v>464</v>
      </c>
    </row>
    <row r="465" spans="1:1" x14ac:dyDescent="0.65">
      <c r="A465" s="3">
        <f t="shared" si="88"/>
        <v>465</v>
      </c>
    </row>
    <row r="466" spans="1:1" x14ac:dyDescent="0.65">
      <c r="A466" s="3">
        <f t="shared" si="88"/>
        <v>466</v>
      </c>
    </row>
    <row r="467" spans="1:1" x14ac:dyDescent="0.65">
      <c r="A467" s="3">
        <f t="shared" si="88"/>
        <v>467</v>
      </c>
    </row>
    <row r="468" spans="1:1" x14ac:dyDescent="0.65">
      <c r="A468" s="3">
        <f t="shared" si="88"/>
        <v>468</v>
      </c>
    </row>
    <row r="469" spans="1:1" x14ac:dyDescent="0.65">
      <c r="A469" s="3">
        <f t="shared" si="88"/>
        <v>469</v>
      </c>
    </row>
    <row r="470" spans="1:1" x14ac:dyDescent="0.65">
      <c r="A470" s="3">
        <f t="shared" si="88"/>
        <v>470</v>
      </c>
    </row>
    <row r="471" spans="1:1" x14ac:dyDescent="0.65">
      <c r="A471" s="3">
        <f t="shared" si="88"/>
        <v>471</v>
      </c>
    </row>
    <row r="472" spans="1:1" x14ac:dyDescent="0.65">
      <c r="A472" s="3">
        <f t="shared" si="88"/>
        <v>472</v>
      </c>
    </row>
    <row r="473" spans="1:1" x14ac:dyDescent="0.65">
      <c r="A473" s="3">
        <f t="shared" si="88"/>
        <v>473</v>
      </c>
    </row>
    <row r="474" spans="1:1" x14ac:dyDescent="0.65">
      <c r="A474" s="3">
        <f t="shared" si="88"/>
        <v>474</v>
      </c>
    </row>
    <row r="475" spans="1:1" x14ac:dyDescent="0.65">
      <c r="A475" s="3">
        <f t="shared" si="88"/>
        <v>475</v>
      </c>
    </row>
    <row r="476" spans="1:1" x14ac:dyDescent="0.65">
      <c r="A476" s="3">
        <f t="shared" si="88"/>
        <v>476</v>
      </c>
    </row>
    <row r="477" spans="1:1" x14ac:dyDescent="0.65">
      <c r="A477" s="3">
        <f t="shared" si="88"/>
        <v>477</v>
      </c>
    </row>
    <row r="478" spans="1:1" x14ac:dyDescent="0.65">
      <c r="A478" s="3">
        <f t="shared" si="88"/>
        <v>478</v>
      </c>
    </row>
    <row r="479" spans="1:1" x14ac:dyDescent="0.65">
      <c r="A479" s="3">
        <f t="shared" si="88"/>
        <v>479</v>
      </c>
    </row>
    <row r="480" spans="1:1" x14ac:dyDescent="0.65">
      <c r="A480" s="3">
        <f t="shared" si="88"/>
        <v>480</v>
      </c>
    </row>
    <row r="481" spans="1:1" x14ac:dyDescent="0.65">
      <c r="A481" s="3">
        <f t="shared" si="88"/>
        <v>481</v>
      </c>
    </row>
    <row r="482" spans="1:1" x14ac:dyDescent="0.65">
      <c r="A482" s="3">
        <f t="shared" si="88"/>
        <v>482</v>
      </c>
    </row>
    <row r="483" spans="1:1" x14ac:dyDescent="0.65">
      <c r="A483" s="3">
        <f t="shared" si="88"/>
        <v>483</v>
      </c>
    </row>
    <row r="484" spans="1:1" x14ac:dyDescent="0.65">
      <c r="A484" s="3">
        <f t="shared" si="88"/>
        <v>484</v>
      </c>
    </row>
    <row r="485" spans="1:1" x14ac:dyDescent="0.65">
      <c r="A485" s="3">
        <f t="shared" si="88"/>
        <v>485</v>
      </c>
    </row>
    <row r="486" spans="1:1" x14ac:dyDescent="0.65">
      <c r="A486" s="3">
        <f t="shared" si="88"/>
        <v>486</v>
      </c>
    </row>
    <row r="487" spans="1:1" x14ac:dyDescent="0.65">
      <c r="A487" s="3">
        <f t="shared" si="88"/>
        <v>487</v>
      </c>
    </row>
    <row r="488" spans="1:1" x14ac:dyDescent="0.65">
      <c r="A488" s="3">
        <f t="shared" si="88"/>
        <v>488</v>
      </c>
    </row>
    <row r="489" spans="1:1" x14ac:dyDescent="0.65">
      <c r="A489" s="3">
        <f t="shared" si="88"/>
        <v>489</v>
      </c>
    </row>
    <row r="490" spans="1:1" x14ac:dyDescent="0.65">
      <c r="A490" s="3">
        <f t="shared" si="88"/>
        <v>490</v>
      </c>
    </row>
    <row r="491" spans="1:1" x14ac:dyDescent="0.65">
      <c r="A491" s="3">
        <f t="shared" si="88"/>
        <v>491</v>
      </c>
    </row>
    <row r="492" spans="1:1" x14ac:dyDescent="0.65">
      <c r="A492" s="3">
        <f t="shared" si="88"/>
        <v>492</v>
      </c>
    </row>
    <row r="493" spans="1:1" x14ac:dyDescent="0.65">
      <c r="A493" s="3">
        <f t="shared" si="88"/>
        <v>493</v>
      </c>
    </row>
    <row r="494" spans="1:1" x14ac:dyDescent="0.65">
      <c r="A494" s="3">
        <f t="shared" si="88"/>
        <v>494</v>
      </c>
    </row>
    <row r="495" spans="1:1" x14ac:dyDescent="0.65">
      <c r="A495" s="3">
        <f t="shared" si="88"/>
        <v>495</v>
      </c>
    </row>
    <row r="496" spans="1:1" x14ac:dyDescent="0.65">
      <c r="A496" s="3">
        <f t="shared" si="88"/>
        <v>496</v>
      </c>
    </row>
    <row r="497" spans="1:1" x14ac:dyDescent="0.65">
      <c r="A497" s="3">
        <f t="shared" si="88"/>
        <v>497</v>
      </c>
    </row>
    <row r="498" spans="1:1" x14ac:dyDescent="0.65">
      <c r="A498" s="3">
        <f t="shared" si="88"/>
        <v>498</v>
      </c>
    </row>
    <row r="499" spans="1:1" x14ac:dyDescent="0.65">
      <c r="A499" s="3">
        <f t="shared" si="88"/>
        <v>499</v>
      </c>
    </row>
    <row r="500" spans="1:1" x14ac:dyDescent="0.65">
      <c r="A500" s="3">
        <f t="shared" si="88"/>
        <v>500</v>
      </c>
    </row>
    <row r="501" spans="1:1" x14ac:dyDescent="0.65">
      <c r="A501" s="3">
        <f t="shared" si="88"/>
        <v>501</v>
      </c>
    </row>
    <row r="502" spans="1:1" x14ac:dyDescent="0.65">
      <c r="A502" s="3">
        <f t="shared" si="88"/>
        <v>502</v>
      </c>
    </row>
    <row r="503" spans="1:1" x14ac:dyDescent="0.65">
      <c r="A503" s="3">
        <f t="shared" si="88"/>
        <v>503</v>
      </c>
    </row>
    <row r="504" spans="1:1" x14ac:dyDescent="0.65">
      <c r="A504" s="3">
        <f t="shared" si="88"/>
        <v>504</v>
      </c>
    </row>
    <row r="505" spans="1:1" x14ac:dyDescent="0.65">
      <c r="A505" s="3">
        <f t="shared" si="88"/>
        <v>505</v>
      </c>
    </row>
    <row r="506" spans="1:1" x14ac:dyDescent="0.65">
      <c r="A506" s="3">
        <f t="shared" si="88"/>
        <v>506</v>
      </c>
    </row>
    <row r="507" spans="1:1" x14ac:dyDescent="0.65">
      <c r="A507" s="3">
        <f t="shared" si="88"/>
        <v>507</v>
      </c>
    </row>
    <row r="508" spans="1:1" x14ac:dyDescent="0.65">
      <c r="A508" s="3">
        <f t="shared" si="88"/>
        <v>508</v>
      </c>
    </row>
    <row r="509" spans="1:1" x14ac:dyDescent="0.65">
      <c r="A509" s="3">
        <f t="shared" si="88"/>
        <v>509</v>
      </c>
    </row>
    <row r="510" spans="1:1" x14ac:dyDescent="0.65">
      <c r="A510" s="3">
        <f t="shared" si="88"/>
        <v>510</v>
      </c>
    </row>
    <row r="511" spans="1:1" x14ac:dyDescent="0.65">
      <c r="A511" s="3">
        <f t="shared" si="88"/>
        <v>511</v>
      </c>
    </row>
    <row r="512" spans="1:1" x14ac:dyDescent="0.65">
      <c r="A512" s="3">
        <f t="shared" si="88"/>
        <v>512</v>
      </c>
    </row>
    <row r="513" spans="1:1" x14ac:dyDescent="0.65">
      <c r="A513" s="3">
        <f t="shared" si="88"/>
        <v>513</v>
      </c>
    </row>
    <row r="514" spans="1:1" x14ac:dyDescent="0.65">
      <c r="A514" s="3">
        <f t="shared" ref="A514:A577" si="89">A513+1</f>
        <v>514</v>
      </c>
    </row>
    <row r="515" spans="1:1" x14ac:dyDescent="0.65">
      <c r="A515" s="3">
        <f t="shared" si="89"/>
        <v>515</v>
      </c>
    </row>
    <row r="516" spans="1:1" x14ac:dyDescent="0.65">
      <c r="A516" s="3">
        <f t="shared" si="89"/>
        <v>516</v>
      </c>
    </row>
    <row r="517" spans="1:1" x14ac:dyDescent="0.65">
      <c r="A517" s="3">
        <f t="shared" si="89"/>
        <v>517</v>
      </c>
    </row>
    <row r="518" spans="1:1" x14ac:dyDescent="0.65">
      <c r="A518" s="3">
        <f t="shared" si="89"/>
        <v>518</v>
      </c>
    </row>
    <row r="519" spans="1:1" x14ac:dyDescent="0.65">
      <c r="A519" s="3">
        <f t="shared" si="89"/>
        <v>519</v>
      </c>
    </row>
    <row r="520" spans="1:1" x14ac:dyDescent="0.65">
      <c r="A520" s="3">
        <f t="shared" si="89"/>
        <v>520</v>
      </c>
    </row>
    <row r="521" spans="1:1" x14ac:dyDescent="0.65">
      <c r="A521" s="3">
        <f t="shared" si="89"/>
        <v>521</v>
      </c>
    </row>
    <row r="522" spans="1:1" x14ac:dyDescent="0.65">
      <c r="A522" s="3">
        <f t="shared" si="89"/>
        <v>522</v>
      </c>
    </row>
    <row r="523" spans="1:1" x14ac:dyDescent="0.65">
      <c r="A523" s="3">
        <f t="shared" si="89"/>
        <v>523</v>
      </c>
    </row>
    <row r="524" spans="1:1" x14ac:dyDescent="0.65">
      <c r="A524" s="3">
        <f t="shared" si="89"/>
        <v>524</v>
      </c>
    </row>
    <row r="525" spans="1:1" x14ac:dyDescent="0.65">
      <c r="A525" s="3">
        <f t="shared" si="89"/>
        <v>525</v>
      </c>
    </row>
    <row r="526" spans="1:1" x14ac:dyDescent="0.65">
      <c r="A526" s="3">
        <f t="shared" si="89"/>
        <v>526</v>
      </c>
    </row>
    <row r="527" spans="1:1" x14ac:dyDescent="0.65">
      <c r="A527" s="3">
        <f t="shared" si="89"/>
        <v>527</v>
      </c>
    </row>
    <row r="528" spans="1:1" x14ac:dyDescent="0.65">
      <c r="A528" s="3">
        <f t="shared" si="89"/>
        <v>528</v>
      </c>
    </row>
    <row r="529" spans="1:1" x14ac:dyDescent="0.65">
      <c r="A529" s="3">
        <f t="shared" si="89"/>
        <v>529</v>
      </c>
    </row>
    <row r="530" spans="1:1" x14ac:dyDescent="0.65">
      <c r="A530" s="3">
        <f t="shared" si="89"/>
        <v>530</v>
      </c>
    </row>
    <row r="531" spans="1:1" x14ac:dyDescent="0.65">
      <c r="A531" s="3">
        <f t="shared" si="89"/>
        <v>531</v>
      </c>
    </row>
    <row r="532" spans="1:1" x14ac:dyDescent="0.65">
      <c r="A532" s="3">
        <f t="shared" si="89"/>
        <v>532</v>
      </c>
    </row>
    <row r="533" spans="1:1" x14ac:dyDescent="0.65">
      <c r="A533" s="3">
        <f t="shared" si="89"/>
        <v>533</v>
      </c>
    </row>
    <row r="534" spans="1:1" x14ac:dyDescent="0.65">
      <c r="A534" s="3">
        <f t="shared" si="89"/>
        <v>534</v>
      </c>
    </row>
    <row r="535" spans="1:1" x14ac:dyDescent="0.65">
      <c r="A535" s="3">
        <f t="shared" si="89"/>
        <v>535</v>
      </c>
    </row>
    <row r="536" spans="1:1" x14ac:dyDescent="0.65">
      <c r="A536" s="3">
        <f t="shared" si="89"/>
        <v>536</v>
      </c>
    </row>
    <row r="537" spans="1:1" x14ac:dyDescent="0.65">
      <c r="A537" s="3">
        <f t="shared" si="89"/>
        <v>537</v>
      </c>
    </row>
    <row r="538" spans="1:1" x14ac:dyDescent="0.65">
      <c r="A538" s="3">
        <f t="shared" si="89"/>
        <v>538</v>
      </c>
    </row>
    <row r="539" spans="1:1" x14ac:dyDescent="0.65">
      <c r="A539" s="3">
        <f t="shared" si="89"/>
        <v>539</v>
      </c>
    </row>
    <row r="540" spans="1:1" x14ac:dyDescent="0.65">
      <c r="A540" s="3">
        <f t="shared" si="89"/>
        <v>540</v>
      </c>
    </row>
    <row r="541" spans="1:1" x14ac:dyDescent="0.65">
      <c r="A541" s="3">
        <f t="shared" si="89"/>
        <v>541</v>
      </c>
    </row>
    <row r="542" spans="1:1" x14ac:dyDescent="0.65">
      <c r="A542" s="3">
        <f t="shared" si="89"/>
        <v>542</v>
      </c>
    </row>
    <row r="543" spans="1:1" x14ac:dyDescent="0.65">
      <c r="A543" s="3">
        <f t="shared" si="89"/>
        <v>543</v>
      </c>
    </row>
    <row r="544" spans="1:1" x14ac:dyDescent="0.65">
      <c r="A544" s="3">
        <f t="shared" si="89"/>
        <v>544</v>
      </c>
    </row>
    <row r="545" spans="1:1" x14ac:dyDescent="0.65">
      <c r="A545" s="3">
        <f t="shared" si="89"/>
        <v>545</v>
      </c>
    </row>
    <row r="546" spans="1:1" x14ac:dyDescent="0.65">
      <c r="A546" s="3">
        <f t="shared" si="89"/>
        <v>546</v>
      </c>
    </row>
    <row r="547" spans="1:1" x14ac:dyDescent="0.65">
      <c r="A547" s="3">
        <f t="shared" si="89"/>
        <v>547</v>
      </c>
    </row>
    <row r="548" spans="1:1" x14ac:dyDescent="0.65">
      <c r="A548" s="3">
        <f t="shared" si="89"/>
        <v>548</v>
      </c>
    </row>
    <row r="549" spans="1:1" x14ac:dyDescent="0.65">
      <c r="A549" s="3">
        <f t="shared" si="89"/>
        <v>549</v>
      </c>
    </row>
    <row r="550" spans="1:1" x14ac:dyDescent="0.65">
      <c r="A550" s="3">
        <f t="shared" si="89"/>
        <v>550</v>
      </c>
    </row>
    <row r="551" spans="1:1" x14ac:dyDescent="0.65">
      <c r="A551" s="3">
        <f t="shared" si="89"/>
        <v>551</v>
      </c>
    </row>
    <row r="552" spans="1:1" x14ac:dyDescent="0.65">
      <c r="A552" s="3">
        <f t="shared" si="89"/>
        <v>552</v>
      </c>
    </row>
    <row r="553" spans="1:1" x14ac:dyDescent="0.65">
      <c r="A553" s="3">
        <f t="shared" si="89"/>
        <v>553</v>
      </c>
    </row>
    <row r="554" spans="1:1" x14ac:dyDescent="0.65">
      <c r="A554" s="3">
        <f t="shared" si="89"/>
        <v>554</v>
      </c>
    </row>
    <row r="555" spans="1:1" x14ac:dyDescent="0.65">
      <c r="A555" s="3">
        <f t="shared" si="89"/>
        <v>555</v>
      </c>
    </row>
    <row r="556" spans="1:1" x14ac:dyDescent="0.65">
      <c r="A556" s="3">
        <f t="shared" si="89"/>
        <v>556</v>
      </c>
    </row>
    <row r="557" spans="1:1" x14ac:dyDescent="0.65">
      <c r="A557" s="3">
        <f t="shared" si="89"/>
        <v>557</v>
      </c>
    </row>
    <row r="558" spans="1:1" x14ac:dyDescent="0.65">
      <c r="A558" s="3">
        <f t="shared" si="89"/>
        <v>558</v>
      </c>
    </row>
    <row r="559" spans="1:1" x14ac:dyDescent="0.65">
      <c r="A559" s="3">
        <f t="shared" si="89"/>
        <v>559</v>
      </c>
    </row>
    <row r="560" spans="1:1" x14ac:dyDescent="0.65">
      <c r="A560" s="3">
        <f t="shared" si="89"/>
        <v>560</v>
      </c>
    </row>
    <row r="561" spans="1:1" x14ac:dyDescent="0.65">
      <c r="A561" s="3">
        <f t="shared" si="89"/>
        <v>561</v>
      </c>
    </row>
    <row r="562" spans="1:1" x14ac:dyDescent="0.65">
      <c r="A562" s="3">
        <f t="shared" si="89"/>
        <v>562</v>
      </c>
    </row>
    <row r="563" spans="1:1" x14ac:dyDescent="0.65">
      <c r="A563" s="3">
        <f t="shared" si="89"/>
        <v>563</v>
      </c>
    </row>
    <row r="564" spans="1:1" x14ac:dyDescent="0.65">
      <c r="A564" s="3">
        <f t="shared" si="89"/>
        <v>564</v>
      </c>
    </row>
    <row r="565" spans="1:1" x14ac:dyDescent="0.65">
      <c r="A565" s="3">
        <f t="shared" si="89"/>
        <v>565</v>
      </c>
    </row>
    <row r="566" spans="1:1" x14ac:dyDescent="0.65">
      <c r="A566" s="3">
        <f t="shared" si="89"/>
        <v>566</v>
      </c>
    </row>
    <row r="567" spans="1:1" x14ac:dyDescent="0.65">
      <c r="A567" s="3">
        <f t="shared" si="89"/>
        <v>567</v>
      </c>
    </row>
    <row r="568" spans="1:1" x14ac:dyDescent="0.65">
      <c r="A568" s="3">
        <f t="shared" si="89"/>
        <v>568</v>
      </c>
    </row>
    <row r="569" spans="1:1" x14ac:dyDescent="0.65">
      <c r="A569" s="3">
        <f t="shared" si="89"/>
        <v>569</v>
      </c>
    </row>
    <row r="570" spans="1:1" x14ac:dyDescent="0.65">
      <c r="A570" s="3">
        <f t="shared" si="89"/>
        <v>570</v>
      </c>
    </row>
    <row r="571" spans="1:1" x14ac:dyDescent="0.65">
      <c r="A571" s="3">
        <f t="shared" si="89"/>
        <v>571</v>
      </c>
    </row>
    <row r="572" spans="1:1" x14ac:dyDescent="0.65">
      <c r="A572" s="3">
        <f t="shared" si="89"/>
        <v>572</v>
      </c>
    </row>
    <row r="573" spans="1:1" x14ac:dyDescent="0.65">
      <c r="A573" s="3">
        <f t="shared" si="89"/>
        <v>573</v>
      </c>
    </row>
    <row r="574" spans="1:1" x14ac:dyDescent="0.65">
      <c r="A574" s="3">
        <f t="shared" si="89"/>
        <v>574</v>
      </c>
    </row>
    <row r="575" spans="1:1" x14ac:dyDescent="0.65">
      <c r="A575" s="3">
        <f t="shared" si="89"/>
        <v>575</v>
      </c>
    </row>
    <row r="576" spans="1:1" x14ac:dyDescent="0.65">
      <c r="A576" s="3">
        <f t="shared" si="89"/>
        <v>576</v>
      </c>
    </row>
    <row r="577" spans="1:1" x14ac:dyDescent="0.65">
      <c r="A577" s="3">
        <f t="shared" si="89"/>
        <v>577</v>
      </c>
    </row>
    <row r="578" spans="1:1" x14ac:dyDescent="0.65">
      <c r="A578" s="3">
        <f t="shared" ref="A578:A641" si="90">A577+1</f>
        <v>578</v>
      </c>
    </row>
    <row r="579" spans="1:1" x14ac:dyDescent="0.65">
      <c r="A579" s="3">
        <f t="shared" si="90"/>
        <v>579</v>
      </c>
    </row>
    <row r="580" spans="1:1" x14ac:dyDescent="0.65">
      <c r="A580" s="3">
        <f t="shared" si="90"/>
        <v>580</v>
      </c>
    </row>
    <row r="581" spans="1:1" x14ac:dyDescent="0.65">
      <c r="A581" s="3">
        <f t="shared" si="90"/>
        <v>581</v>
      </c>
    </row>
    <row r="582" spans="1:1" x14ac:dyDescent="0.65">
      <c r="A582" s="3">
        <f t="shared" si="90"/>
        <v>582</v>
      </c>
    </row>
    <row r="583" spans="1:1" x14ac:dyDescent="0.65">
      <c r="A583" s="3">
        <f t="shared" si="90"/>
        <v>583</v>
      </c>
    </row>
    <row r="584" spans="1:1" x14ac:dyDescent="0.65">
      <c r="A584" s="3">
        <f t="shared" si="90"/>
        <v>584</v>
      </c>
    </row>
    <row r="585" spans="1:1" x14ac:dyDescent="0.65">
      <c r="A585" s="3">
        <f t="shared" si="90"/>
        <v>585</v>
      </c>
    </row>
    <row r="586" spans="1:1" x14ac:dyDescent="0.65">
      <c r="A586" s="3">
        <f t="shared" si="90"/>
        <v>586</v>
      </c>
    </row>
    <row r="587" spans="1:1" x14ac:dyDescent="0.65">
      <c r="A587" s="3">
        <f t="shared" si="90"/>
        <v>587</v>
      </c>
    </row>
    <row r="588" spans="1:1" x14ac:dyDescent="0.65">
      <c r="A588" s="3">
        <f t="shared" si="90"/>
        <v>588</v>
      </c>
    </row>
    <row r="589" spans="1:1" x14ac:dyDescent="0.65">
      <c r="A589" s="3">
        <f t="shared" si="90"/>
        <v>589</v>
      </c>
    </row>
    <row r="590" spans="1:1" x14ac:dyDescent="0.65">
      <c r="A590" s="3">
        <f t="shared" si="90"/>
        <v>590</v>
      </c>
    </row>
    <row r="591" spans="1:1" x14ac:dyDescent="0.65">
      <c r="A591" s="3">
        <f t="shared" si="90"/>
        <v>591</v>
      </c>
    </row>
    <row r="592" spans="1:1" x14ac:dyDescent="0.65">
      <c r="A592" s="3">
        <f t="shared" si="90"/>
        <v>592</v>
      </c>
    </row>
    <row r="593" spans="1:1" x14ac:dyDescent="0.65">
      <c r="A593" s="3">
        <f t="shared" si="90"/>
        <v>593</v>
      </c>
    </row>
    <row r="594" spans="1:1" x14ac:dyDescent="0.65">
      <c r="A594" s="3">
        <f t="shared" si="90"/>
        <v>594</v>
      </c>
    </row>
    <row r="595" spans="1:1" x14ac:dyDescent="0.65">
      <c r="A595" s="3">
        <f t="shared" si="90"/>
        <v>595</v>
      </c>
    </row>
    <row r="596" spans="1:1" x14ac:dyDescent="0.65">
      <c r="A596" s="3">
        <f t="shared" si="90"/>
        <v>596</v>
      </c>
    </row>
    <row r="597" spans="1:1" x14ac:dyDescent="0.65">
      <c r="A597" s="3">
        <f t="shared" si="90"/>
        <v>597</v>
      </c>
    </row>
    <row r="598" spans="1:1" x14ac:dyDescent="0.65">
      <c r="A598" s="3">
        <f t="shared" si="90"/>
        <v>598</v>
      </c>
    </row>
    <row r="599" spans="1:1" x14ac:dyDescent="0.65">
      <c r="A599" s="3">
        <f t="shared" si="90"/>
        <v>599</v>
      </c>
    </row>
    <row r="600" spans="1:1" x14ac:dyDescent="0.65">
      <c r="A600" s="3">
        <f t="shared" si="90"/>
        <v>600</v>
      </c>
    </row>
    <row r="601" spans="1:1" x14ac:dyDescent="0.65">
      <c r="A601" s="3">
        <f t="shared" si="90"/>
        <v>601</v>
      </c>
    </row>
    <row r="602" spans="1:1" x14ac:dyDescent="0.65">
      <c r="A602" s="3">
        <f t="shared" si="90"/>
        <v>602</v>
      </c>
    </row>
    <row r="603" spans="1:1" x14ac:dyDescent="0.65">
      <c r="A603" s="3">
        <f t="shared" si="90"/>
        <v>603</v>
      </c>
    </row>
    <row r="604" spans="1:1" x14ac:dyDescent="0.65">
      <c r="A604" s="3">
        <f t="shared" si="90"/>
        <v>604</v>
      </c>
    </row>
    <row r="605" spans="1:1" x14ac:dyDescent="0.65">
      <c r="A605" s="3">
        <f t="shared" si="90"/>
        <v>605</v>
      </c>
    </row>
    <row r="606" spans="1:1" x14ac:dyDescent="0.65">
      <c r="A606" s="3">
        <f t="shared" si="90"/>
        <v>606</v>
      </c>
    </row>
    <row r="607" spans="1:1" x14ac:dyDescent="0.65">
      <c r="A607" s="3">
        <f t="shared" si="90"/>
        <v>607</v>
      </c>
    </row>
    <row r="608" spans="1:1" x14ac:dyDescent="0.65">
      <c r="A608" s="3">
        <f t="shared" si="90"/>
        <v>608</v>
      </c>
    </row>
    <row r="609" spans="1:1" x14ac:dyDescent="0.65">
      <c r="A609" s="3">
        <f t="shared" si="90"/>
        <v>609</v>
      </c>
    </row>
    <row r="610" spans="1:1" x14ac:dyDescent="0.65">
      <c r="A610" s="3">
        <f t="shared" si="90"/>
        <v>610</v>
      </c>
    </row>
    <row r="611" spans="1:1" x14ac:dyDescent="0.65">
      <c r="A611" s="3">
        <f t="shared" si="90"/>
        <v>611</v>
      </c>
    </row>
    <row r="612" spans="1:1" x14ac:dyDescent="0.65">
      <c r="A612" s="3">
        <f t="shared" si="90"/>
        <v>612</v>
      </c>
    </row>
    <row r="613" spans="1:1" x14ac:dyDescent="0.65">
      <c r="A613" s="3">
        <f t="shared" si="90"/>
        <v>613</v>
      </c>
    </row>
    <row r="614" spans="1:1" x14ac:dyDescent="0.65">
      <c r="A614" s="3">
        <f t="shared" si="90"/>
        <v>614</v>
      </c>
    </row>
    <row r="615" spans="1:1" x14ac:dyDescent="0.65">
      <c r="A615" s="3">
        <f t="shared" si="90"/>
        <v>615</v>
      </c>
    </row>
    <row r="616" spans="1:1" x14ac:dyDescent="0.65">
      <c r="A616" s="3">
        <f t="shared" si="90"/>
        <v>616</v>
      </c>
    </row>
    <row r="617" spans="1:1" x14ac:dyDescent="0.65">
      <c r="A617" s="3">
        <f t="shared" si="90"/>
        <v>617</v>
      </c>
    </row>
    <row r="618" spans="1:1" x14ac:dyDescent="0.65">
      <c r="A618" s="3">
        <f t="shared" si="90"/>
        <v>618</v>
      </c>
    </row>
    <row r="619" spans="1:1" x14ac:dyDescent="0.65">
      <c r="A619" s="3">
        <f t="shared" si="90"/>
        <v>619</v>
      </c>
    </row>
    <row r="620" spans="1:1" x14ac:dyDescent="0.65">
      <c r="A620" s="3">
        <f t="shared" si="90"/>
        <v>620</v>
      </c>
    </row>
    <row r="621" spans="1:1" x14ac:dyDescent="0.65">
      <c r="A621" s="3">
        <f t="shared" si="90"/>
        <v>621</v>
      </c>
    </row>
    <row r="622" spans="1:1" x14ac:dyDescent="0.65">
      <c r="A622" s="3">
        <f t="shared" si="90"/>
        <v>622</v>
      </c>
    </row>
    <row r="623" spans="1:1" x14ac:dyDescent="0.65">
      <c r="A623" s="3">
        <f t="shared" si="90"/>
        <v>623</v>
      </c>
    </row>
    <row r="624" spans="1:1" x14ac:dyDescent="0.65">
      <c r="A624" s="3">
        <f t="shared" si="90"/>
        <v>624</v>
      </c>
    </row>
    <row r="625" spans="1:1" x14ac:dyDescent="0.65">
      <c r="A625" s="3">
        <f t="shared" si="90"/>
        <v>625</v>
      </c>
    </row>
    <row r="626" spans="1:1" x14ac:dyDescent="0.65">
      <c r="A626" s="3">
        <f t="shared" si="90"/>
        <v>626</v>
      </c>
    </row>
    <row r="627" spans="1:1" x14ac:dyDescent="0.65">
      <c r="A627" s="3">
        <f t="shared" si="90"/>
        <v>627</v>
      </c>
    </row>
    <row r="628" spans="1:1" x14ac:dyDescent="0.65">
      <c r="A628" s="3">
        <f t="shared" si="90"/>
        <v>628</v>
      </c>
    </row>
    <row r="629" spans="1:1" x14ac:dyDescent="0.65">
      <c r="A629" s="3">
        <f t="shared" si="90"/>
        <v>629</v>
      </c>
    </row>
    <row r="630" spans="1:1" x14ac:dyDescent="0.65">
      <c r="A630" s="3">
        <f t="shared" si="90"/>
        <v>630</v>
      </c>
    </row>
    <row r="631" spans="1:1" x14ac:dyDescent="0.65">
      <c r="A631" s="3">
        <f t="shared" si="90"/>
        <v>631</v>
      </c>
    </row>
    <row r="632" spans="1:1" x14ac:dyDescent="0.65">
      <c r="A632" s="3">
        <f t="shared" si="90"/>
        <v>632</v>
      </c>
    </row>
    <row r="633" spans="1:1" x14ac:dyDescent="0.65">
      <c r="A633" s="3">
        <f t="shared" si="90"/>
        <v>633</v>
      </c>
    </row>
    <row r="634" spans="1:1" x14ac:dyDescent="0.65">
      <c r="A634" s="3">
        <f t="shared" si="90"/>
        <v>634</v>
      </c>
    </row>
    <row r="635" spans="1:1" x14ac:dyDescent="0.65">
      <c r="A635" s="3">
        <f t="shared" si="90"/>
        <v>635</v>
      </c>
    </row>
    <row r="636" spans="1:1" x14ac:dyDescent="0.65">
      <c r="A636" s="3">
        <f t="shared" si="90"/>
        <v>636</v>
      </c>
    </row>
    <row r="637" spans="1:1" x14ac:dyDescent="0.65">
      <c r="A637" s="3">
        <f t="shared" si="90"/>
        <v>637</v>
      </c>
    </row>
    <row r="638" spans="1:1" x14ac:dyDescent="0.65">
      <c r="A638" s="3">
        <f t="shared" si="90"/>
        <v>638</v>
      </c>
    </row>
    <row r="639" spans="1:1" x14ac:dyDescent="0.65">
      <c r="A639" s="3">
        <f t="shared" si="90"/>
        <v>639</v>
      </c>
    </row>
    <row r="640" spans="1:1" x14ac:dyDescent="0.65">
      <c r="A640" s="3">
        <f t="shared" si="90"/>
        <v>640</v>
      </c>
    </row>
    <row r="641" spans="1:1" x14ac:dyDescent="0.65">
      <c r="A641" s="3">
        <f t="shared" si="90"/>
        <v>641</v>
      </c>
    </row>
    <row r="642" spans="1:1" x14ac:dyDescent="0.65">
      <c r="A642" s="3">
        <f t="shared" ref="A642:A705" si="91">A641+1</f>
        <v>642</v>
      </c>
    </row>
    <row r="643" spans="1:1" x14ac:dyDescent="0.65">
      <c r="A643" s="3">
        <f t="shared" si="91"/>
        <v>643</v>
      </c>
    </row>
    <row r="644" spans="1:1" x14ac:dyDescent="0.65">
      <c r="A644" s="3">
        <f t="shared" si="91"/>
        <v>644</v>
      </c>
    </row>
    <row r="645" spans="1:1" x14ac:dyDescent="0.65">
      <c r="A645" s="3">
        <f t="shared" si="91"/>
        <v>645</v>
      </c>
    </row>
    <row r="646" spans="1:1" x14ac:dyDescent="0.65">
      <c r="A646" s="3">
        <f t="shared" si="91"/>
        <v>646</v>
      </c>
    </row>
    <row r="647" spans="1:1" x14ac:dyDescent="0.65">
      <c r="A647" s="3">
        <f t="shared" si="91"/>
        <v>647</v>
      </c>
    </row>
    <row r="648" spans="1:1" x14ac:dyDescent="0.65">
      <c r="A648" s="3">
        <f t="shared" si="91"/>
        <v>648</v>
      </c>
    </row>
    <row r="649" spans="1:1" x14ac:dyDescent="0.65">
      <c r="A649" s="3">
        <f t="shared" si="91"/>
        <v>649</v>
      </c>
    </row>
    <row r="650" spans="1:1" x14ac:dyDescent="0.65">
      <c r="A650" s="3">
        <f t="shared" si="91"/>
        <v>650</v>
      </c>
    </row>
    <row r="651" spans="1:1" x14ac:dyDescent="0.65">
      <c r="A651" s="3">
        <f t="shared" si="91"/>
        <v>651</v>
      </c>
    </row>
    <row r="652" spans="1:1" x14ac:dyDescent="0.65">
      <c r="A652" s="3">
        <f t="shared" si="91"/>
        <v>652</v>
      </c>
    </row>
    <row r="653" spans="1:1" x14ac:dyDescent="0.65">
      <c r="A653" s="3">
        <f t="shared" si="91"/>
        <v>653</v>
      </c>
    </row>
    <row r="654" spans="1:1" x14ac:dyDescent="0.65">
      <c r="A654" s="3">
        <f t="shared" si="91"/>
        <v>654</v>
      </c>
    </row>
    <row r="655" spans="1:1" x14ac:dyDescent="0.65">
      <c r="A655" s="3">
        <f t="shared" si="91"/>
        <v>655</v>
      </c>
    </row>
    <row r="656" spans="1:1" x14ac:dyDescent="0.65">
      <c r="A656" s="3">
        <f t="shared" si="91"/>
        <v>656</v>
      </c>
    </row>
    <row r="657" spans="1:1" x14ac:dyDescent="0.65">
      <c r="A657" s="3">
        <f t="shared" si="91"/>
        <v>657</v>
      </c>
    </row>
    <row r="658" spans="1:1" x14ac:dyDescent="0.65">
      <c r="A658" s="3">
        <f t="shared" si="91"/>
        <v>658</v>
      </c>
    </row>
    <row r="659" spans="1:1" x14ac:dyDescent="0.65">
      <c r="A659" s="3">
        <f t="shared" si="91"/>
        <v>659</v>
      </c>
    </row>
    <row r="660" spans="1:1" x14ac:dyDescent="0.65">
      <c r="A660" s="3">
        <f t="shared" si="91"/>
        <v>660</v>
      </c>
    </row>
    <row r="661" spans="1:1" x14ac:dyDescent="0.65">
      <c r="A661" s="3">
        <f t="shared" si="91"/>
        <v>661</v>
      </c>
    </row>
    <row r="662" spans="1:1" x14ac:dyDescent="0.65">
      <c r="A662" s="3">
        <f t="shared" si="91"/>
        <v>662</v>
      </c>
    </row>
    <row r="663" spans="1:1" x14ac:dyDescent="0.65">
      <c r="A663" s="3">
        <f t="shared" si="91"/>
        <v>663</v>
      </c>
    </row>
    <row r="664" spans="1:1" x14ac:dyDescent="0.65">
      <c r="A664" s="3">
        <f t="shared" si="91"/>
        <v>664</v>
      </c>
    </row>
    <row r="665" spans="1:1" x14ac:dyDescent="0.65">
      <c r="A665" s="3">
        <f t="shared" si="91"/>
        <v>665</v>
      </c>
    </row>
    <row r="666" spans="1:1" x14ac:dyDescent="0.65">
      <c r="A666" s="3">
        <f t="shared" si="91"/>
        <v>666</v>
      </c>
    </row>
    <row r="667" spans="1:1" x14ac:dyDescent="0.65">
      <c r="A667" s="3">
        <f t="shared" si="91"/>
        <v>667</v>
      </c>
    </row>
    <row r="668" spans="1:1" x14ac:dyDescent="0.65">
      <c r="A668" s="3">
        <f t="shared" si="91"/>
        <v>668</v>
      </c>
    </row>
    <row r="669" spans="1:1" x14ac:dyDescent="0.65">
      <c r="A669" s="3">
        <f t="shared" si="91"/>
        <v>669</v>
      </c>
    </row>
    <row r="670" spans="1:1" x14ac:dyDescent="0.65">
      <c r="A670" s="3">
        <f t="shared" si="91"/>
        <v>670</v>
      </c>
    </row>
    <row r="671" spans="1:1" x14ac:dyDescent="0.65">
      <c r="A671" s="3">
        <f t="shared" si="91"/>
        <v>671</v>
      </c>
    </row>
    <row r="672" spans="1:1" x14ac:dyDescent="0.65">
      <c r="A672" s="3">
        <f t="shared" si="91"/>
        <v>672</v>
      </c>
    </row>
    <row r="673" spans="1:1" x14ac:dyDescent="0.65">
      <c r="A673" s="3">
        <f t="shared" si="91"/>
        <v>673</v>
      </c>
    </row>
    <row r="674" spans="1:1" x14ac:dyDescent="0.65">
      <c r="A674" s="3">
        <f t="shared" si="91"/>
        <v>674</v>
      </c>
    </row>
    <row r="675" spans="1:1" x14ac:dyDescent="0.65">
      <c r="A675" s="3">
        <f t="shared" si="91"/>
        <v>675</v>
      </c>
    </row>
    <row r="676" spans="1:1" x14ac:dyDescent="0.65">
      <c r="A676" s="3">
        <f t="shared" si="91"/>
        <v>676</v>
      </c>
    </row>
    <row r="677" spans="1:1" x14ac:dyDescent="0.65">
      <c r="A677" s="3">
        <f t="shared" si="91"/>
        <v>677</v>
      </c>
    </row>
    <row r="678" spans="1:1" x14ac:dyDescent="0.65">
      <c r="A678" s="3">
        <f t="shared" si="91"/>
        <v>678</v>
      </c>
    </row>
    <row r="679" spans="1:1" x14ac:dyDescent="0.65">
      <c r="A679" s="3">
        <f t="shared" si="91"/>
        <v>679</v>
      </c>
    </row>
    <row r="680" spans="1:1" x14ac:dyDescent="0.65">
      <c r="A680" s="3">
        <f t="shared" si="91"/>
        <v>680</v>
      </c>
    </row>
    <row r="681" spans="1:1" x14ac:dyDescent="0.65">
      <c r="A681" s="3">
        <f t="shared" si="91"/>
        <v>681</v>
      </c>
    </row>
    <row r="682" spans="1:1" x14ac:dyDescent="0.65">
      <c r="A682" s="3">
        <f t="shared" si="91"/>
        <v>682</v>
      </c>
    </row>
    <row r="683" spans="1:1" x14ac:dyDescent="0.65">
      <c r="A683" s="3">
        <f t="shared" si="91"/>
        <v>683</v>
      </c>
    </row>
    <row r="684" spans="1:1" x14ac:dyDescent="0.65">
      <c r="A684" s="3">
        <f t="shared" si="91"/>
        <v>684</v>
      </c>
    </row>
    <row r="685" spans="1:1" x14ac:dyDescent="0.65">
      <c r="A685" s="3">
        <f t="shared" si="91"/>
        <v>685</v>
      </c>
    </row>
    <row r="686" spans="1:1" x14ac:dyDescent="0.65">
      <c r="A686" s="3">
        <f t="shared" si="91"/>
        <v>686</v>
      </c>
    </row>
    <row r="687" spans="1:1" x14ac:dyDescent="0.65">
      <c r="A687" s="3">
        <f t="shared" si="91"/>
        <v>687</v>
      </c>
    </row>
    <row r="688" spans="1:1" x14ac:dyDescent="0.65">
      <c r="A688" s="3">
        <f t="shared" si="91"/>
        <v>688</v>
      </c>
    </row>
    <row r="689" spans="1:1" x14ac:dyDescent="0.65">
      <c r="A689" s="3">
        <f t="shared" si="91"/>
        <v>689</v>
      </c>
    </row>
    <row r="690" spans="1:1" x14ac:dyDescent="0.65">
      <c r="A690" s="3">
        <f t="shared" si="91"/>
        <v>690</v>
      </c>
    </row>
    <row r="691" spans="1:1" x14ac:dyDescent="0.65">
      <c r="A691" s="3">
        <f t="shared" si="91"/>
        <v>691</v>
      </c>
    </row>
    <row r="692" spans="1:1" x14ac:dyDescent="0.65">
      <c r="A692" s="3">
        <f t="shared" si="91"/>
        <v>692</v>
      </c>
    </row>
    <row r="693" spans="1:1" x14ac:dyDescent="0.65">
      <c r="A693" s="3">
        <f t="shared" si="91"/>
        <v>693</v>
      </c>
    </row>
    <row r="694" spans="1:1" x14ac:dyDescent="0.65">
      <c r="A694" s="3">
        <f t="shared" si="91"/>
        <v>694</v>
      </c>
    </row>
    <row r="695" spans="1:1" x14ac:dyDescent="0.65">
      <c r="A695" s="3">
        <f t="shared" si="91"/>
        <v>695</v>
      </c>
    </row>
    <row r="696" spans="1:1" x14ac:dyDescent="0.65">
      <c r="A696" s="3">
        <f t="shared" si="91"/>
        <v>696</v>
      </c>
    </row>
    <row r="697" spans="1:1" x14ac:dyDescent="0.65">
      <c r="A697" s="3">
        <f t="shared" si="91"/>
        <v>697</v>
      </c>
    </row>
    <row r="698" spans="1:1" x14ac:dyDescent="0.65">
      <c r="A698" s="3">
        <f t="shared" si="91"/>
        <v>698</v>
      </c>
    </row>
    <row r="699" spans="1:1" x14ac:dyDescent="0.65">
      <c r="A699" s="3">
        <f t="shared" si="91"/>
        <v>699</v>
      </c>
    </row>
    <row r="700" spans="1:1" x14ac:dyDescent="0.65">
      <c r="A700" s="3">
        <f t="shared" si="91"/>
        <v>700</v>
      </c>
    </row>
    <row r="701" spans="1:1" x14ac:dyDescent="0.65">
      <c r="A701" s="3">
        <f t="shared" si="91"/>
        <v>701</v>
      </c>
    </row>
    <row r="702" spans="1:1" x14ac:dyDescent="0.65">
      <c r="A702" s="3">
        <f t="shared" si="91"/>
        <v>702</v>
      </c>
    </row>
    <row r="703" spans="1:1" x14ac:dyDescent="0.65">
      <c r="A703" s="3">
        <f t="shared" si="91"/>
        <v>703</v>
      </c>
    </row>
    <row r="704" spans="1:1" x14ac:dyDescent="0.65">
      <c r="A704" s="3">
        <f t="shared" si="91"/>
        <v>704</v>
      </c>
    </row>
    <row r="705" spans="1:1" x14ac:dyDescent="0.65">
      <c r="A705" s="3">
        <f t="shared" si="91"/>
        <v>705</v>
      </c>
    </row>
    <row r="706" spans="1:1" x14ac:dyDescent="0.65">
      <c r="A706" s="3">
        <f t="shared" ref="A706:A769" si="92">A705+1</f>
        <v>706</v>
      </c>
    </row>
    <row r="707" spans="1:1" x14ac:dyDescent="0.65">
      <c r="A707" s="3">
        <f t="shared" si="92"/>
        <v>707</v>
      </c>
    </row>
    <row r="708" spans="1:1" x14ac:dyDescent="0.65">
      <c r="A708" s="3">
        <f t="shared" si="92"/>
        <v>708</v>
      </c>
    </row>
    <row r="709" spans="1:1" x14ac:dyDescent="0.65">
      <c r="A709" s="3">
        <f t="shared" si="92"/>
        <v>709</v>
      </c>
    </row>
    <row r="710" spans="1:1" x14ac:dyDescent="0.65">
      <c r="A710" s="3">
        <f t="shared" si="92"/>
        <v>710</v>
      </c>
    </row>
    <row r="711" spans="1:1" x14ac:dyDescent="0.65">
      <c r="A711" s="3">
        <f t="shared" si="92"/>
        <v>711</v>
      </c>
    </row>
    <row r="712" spans="1:1" x14ac:dyDescent="0.65">
      <c r="A712" s="3">
        <f t="shared" si="92"/>
        <v>712</v>
      </c>
    </row>
    <row r="713" spans="1:1" x14ac:dyDescent="0.65">
      <c r="A713" s="3">
        <f t="shared" si="92"/>
        <v>713</v>
      </c>
    </row>
    <row r="714" spans="1:1" x14ac:dyDescent="0.65">
      <c r="A714" s="3">
        <f t="shared" si="92"/>
        <v>714</v>
      </c>
    </row>
    <row r="715" spans="1:1" x14ac:dyDescent="0.65">
      <c r="A715" s="3">
        <f t="shared" si="92"/>
        <v>715</v>
      </c>
    </row>
    <row r="716" spans="1:1" x14ac:dyDescent="0.65">
      <c r="A716" s="3">
        <f t="shared" si="92"/>
        <v>716</v>
      </c>
    </row>
    <row r="717" spans="1:1" x14ac:dyDescent="0.65">
      <c r="A717" s="3">
        <f t="shared" si="92"/>
        <v>717</v>
      </c>
    </row>
    <row r="718" spans="1:1" x14ac:dyDescent="0.65">
      <c r="A718" s="3">
        <f t="shared" si="92"/>
        <v>718</v>
      </c>
    </row>
    <row r="719" spans="1:1" x14ac:dyDescent="0.65">
      <c r="A719" s="3">
        <f t="shared" si="92"/>
        <v>719</v>
      </c>
    </row>
    <row r="720" spans="1:1" x14ac:dyDescent="0.65">
      <c r="A720" s="3">
        <f t="shared" si="92"/>
        <v>720</v>
      </c>
    </row>
    <row r="721" spans="1:1" x14ac:dyDescent="0.65">
      <c r="A721" s="3">
        <f t="shared" si="92"/>
        <v>721</v>
      </c>
    </row>
    <row r="722" spans="1:1" x14ac:dyDescent="0.65">
      <c r="A722" s="3">
        <f t="shared" si="92"/>
        <v>722</v>
      </c>
    </row>
    <row r="723" spans="1:1" x14ac:dyDescent="0.65">
      <c r="A723" s="3">
        <f t="shared" si="92"/>
        <v>723</v>
      </c>
    </row>
    <row r="724" spans="1:1" x14ac:dyDescent="0.65">
      <c r="A724" s="3">
        <f t="shared" si="92"/>
        <v>724</v>
      </c>
    </row>
    <row r="725" spans="1:1" x14ac:dyDescent="0.65">
      <c r="A725" s="3">
        <f t="shared" si="92"/>
        <v>725</v>
      </c>
    </row>
    <row r="726" spans="1:1" x14ac:dyDescent="0.65">
      <c r="A726" s="3">
        <f t="shared" si="92"/>
        <v>726</v>
      </c>
    </row>
    <row r="727" spans="1:1" x14ac:dyDescent="0.65">
      <c r="A727" s="3">
        <f t="shared" si="92"/>
        <v>727</v>
      </c>
    </row>
    <row r="728" spans="1:1" x14ac:dyDescent="0.65">
      <c r="A728" s="3">
        <f t="shared" si="92"/>
        <v>728</v>
      </c>
    </row>
    <row r="729" spans="1:1" x14ac:dyDescent="0.65">
      <c r="A729" s="3">
        <f t="shared" si="92"/>
        <v>729</v>
      </c>
    </row>
    <row r="730" spans="1:1" x14ac:dyDescent="0.65">
      <c r="A730" s="3">
        <f t="shared" si="92"/>
        <v>730</v>
      </c>
    </row>
    <row r="731" spans="1:1" x14ac:dyDescent="0.65">
      <c r="A731" s="3">
        <f t="shared" si="92"/>
        <v>731</v>
      </c>
    </row>
    <row r="732" spans="1:1" x14ac:dyDescent="0.65">
      <c r="A732" s="3">
        <f t="shared" si="92"/>
        <v>732</v>
      </c>
    </row>
    <row r="733" spans="1:1" x14ac:dyDescent="0.65">
      <c r="A733" s="3">
        <f t="shared" si="92"/>
        <v>733</v>
      </c>
    </row>
    <row r="734" spans="1:1" x14ac:dyDescent="0.65">
      <c r="A734" s="3">
        <f t="shared" si="92"/>
        <v>734</v>
      </c>
    </row>
    <row r="735" spans="1:1" x14ac:dyDescent="0.65">
      <c r="A735" s="3">
        <f t="shared" si="92"/>
        <v>735</v>
      </c>
    </row>
    <row r="736" spans="1:1" x14ac:dyDescent="0.65">
      <c r="A736" s="3">
        <f t="shared" si="92"/>
        <v>736</v>
      </c>
    </row>
    <row r="737" spans="1:1" x14ac:dyDescent="0.65">
      <c r="A737" s="3">
        <f t="shared" si="92"/>
        <v>737</v>
      </c>
    </row>
    <row r="738" spans="1:1" x14ac:dyDescent="0.65">
      <c r="A738" s="3">
        <f t="shared" si="92"/>
        <v>738</v>
      </c>
    </row>
    <row r="739" spans="1:1" x14ac:dyDescent="0.65">
      <c r="A739" s="3">
        <f t="shared" si="92"/>
        <v>739</v>
      </c>
    </row>
    <row r="740" spans="1:1" x14ac:dyDescent="0.65">
      <c r="A740" s="3">
        <f t="shared" si="92"/>
        <v>740</v>
      </c>
    </row>
    <row r="741" spans="1:1" x14ac:dyDescent="0.65">
      <c r="A741" s="3">
        <f t="shared" si="92"/>
        <v>741</v>
      </c>
    </row>
    <row r="742" spans="1:1" x14ac:dyDescent="0.65">
      <c r="A742" s="3">
        <f t="shared" si="92"/>
        <v>742</v>
      </c>
    </row>
    <row r="743" spans="1:1" x14ac:dyDescent="0.65">
      <c r="A743" s="3">
        <f t="shared" si="92"/>
        <v>743</v>
      </c>
    </row>
    <row r="744" spans="1:1" x14ac:dyDescent="0.65">
      <c r="A744" s="3">
        <f t="shared" si="92"/>
        <v>744</v>
      </c>
    </row>
    <row r="745" spans="1:1" x14ac:dyDescent="0.65">
      <c r="A745" s="3">
        <f t="shared" si="92"/>
        <v>745</v>
      </c>
    </row>
    <row r="746" spans="1:1" x14ac:dyDescent="0.65">
      <c r="A746" s="3">
        <f t="shared" si="92"/>
        <v>746</v>
      </c>
    </row>
    <row r="747" spans="1:1" x14ac:dyDescent="0.65">
      <c r="A747" s="3">
        <f t="shared" si="92"/>
        <v>747</v>
      </c>
    </row>
    <row r="748" spans="1:1" x14ac:dyDescent="0.65">
      <c r="A748" s="3">
        <f t="shared" si="92"/>
        <v>748</v>
      </c>
    </row>
    <row r="749" spans="1:1" x14ac:dyDescent="0.65">
      <c r="A749" s="3">
        <f t="shared" si="92"/>
        <v>749</v>
      </c>
    </row>
    <row r="750" spans="1:1" x14ac:dyDescent="0.65">
      <c r="A750" s="3">
        <f t="shared" si="92"/>
        <v>750</v>
      </c>
    </row>
    <row r="751" spans="1:1" x14ac:dyDescent="0.65">
      <c r="A751" s="3">
        <f t="shared" si="92"/>
        <v>751</v>
      </c>
    </row>
    <row r="752" spans="1:1" x14ac:dyDescent="0.65">
      <c r="A752" s="3">
        <f t="shared" si="92"/>
        <v>752</v>
      </c>
    </row>
    <row r="753" spans="1:1" x14ac:dyDescent="0.65">
      <c r="A753" s="3">
        <f t="shared" si="92"/>
        <v>753</v>
      </c>
    </row>
    <row r="754" spans="1:1" x14ac:dyDescent="0.65">
      <c r="A754" s="3">
        <f t="shared" si="92"/>
        <v>754</v>
      </c>
    </row>
    <row r="755" spans="1:1" x14ac:dyDescent="0.65">
      <c r="A755" s="3">
        <f t="shared" si="92"/>
        <v>755</v>
      </c>
    </row>
    <row r="756" spans="1:1" x14ac:dyDescent="0.65">
      <c r="A756" s="3">
        <f t="shared" si="92"/>
        <v>756</v>
      </c>
    </row>
    <row r="757" spans="1:1" x14ac:dyDescent="0.65">
      <c r="A757" s="3">
        <f t="shared" si="92"/>
        <v>757</v>
      </c>
    </row>
    <row r="758" spans="1:1" x14ac:dyDescent="0.65">
      <c r="A758" s="3">
        <f t="shared" si="92"/>
        <v>758</v>
      </c>
    </row>
    <row r="759" spans="1:1" x14ac:dyDescent="0.65">
      <c r="A759" s="3">
        <f t="shared" si="92"/>
        <v>759</v>
      </c>
    </row>
    <row r="760" spans="1:1" x14ac:dyDescent="0.65">
      <c r="A760" s="3">
        <f t="shared" si="92"/>
        <v>760</v>
      </c>
    </row>
    <row r="761" spans="1:1" x14ac:dyDescent="0.65">
      <c r="A761" s="3">
        <f t="shared" si="92"/>
        <v>761</v>
      </c>
    </row>
    <row r="762" spans="1:1" x14ac:dyDescent="0.65">
      <c r="A762" s="3">
        <f t="shared" si="92"/>
        <v>762</v>
      </c>
    </row>
    <row r="763" spans="1:1" x14ac:dyDescent="0.65">
      <c r="A763" s="3">
        <f t="shared" si="92"/>
        <v>763</v>
      </c>
    </row>
    <row r="764" spans="1:1" x14ac:dyDescent="0.65">
      <c r="A764" s="3">
        <f t="shared" si="92"/>
        <v>764</v>
      </c>
    </row>
    <row r="765" spans="1:1" x14ac:dyDescent="0.65">
      <c r="A765" s="3">
        <f t="shared" si="92"/>
        <v>765</v>
      </c>
    </row>
    <row r="766" spans="1:1" x14ac:dyDescent="0.65">
      <c r="A766" s="3">
        <f t="shared" si="92"/>
        <v>766</v>
      </c>
    </row>
    <row r="767" spans="1:1" x14ac:dyDescent="0.65">
      <c r="A767" s="3">
        <f t="shared" si="92"/>
        <v>767</v>
      </c>
    </row>
    <row r="768" spans="1:1" x14ac:dyDescent="0.65">
      <c r="A768" s="3">
        <f t="shared" si="92"/>
        <v>768</v>
      </c>
    </row>
    <row r="769" spans="1:1" x14ac:dyDescent="0.65">
      <c r="A769" s="3">
        <f t="shared" si="92"/>
        <v>769</v>
      </c>
    </row>
    <row r="770" spans="1:1" x14ac:dyDescent="0.65">
      <c r="A770" s="3">
        <f t="shared" ref="A770:A813" si="93">A769+1</f>
        <v>770</v>
      </c>
    </row>
    <row r="771" spans="1:1" x14ac:dyDescent="0.65">
      <c r="A771" s="3">
        <f t="shared" si="93"/>
        <v>771</v>
      </c>
    </row>
    <row r="772" spans="1:1" x14ac:dyDescent="0.65">
      <c r="A772" s="3">
        <f t="shared" si="93"/>
        <v>772</v>
      </c>
    </row>
    <row r="773" spans="1:1" x14ac:dyDescent="0.65">
      <c r="A773" s="3">
        <f t="shared" si="93"/>
        <v>773</v>
      </c>
    </row>
    <row r="774" spans="1:1" x14ac:dyDescent="0.65">
      <c r="A774" s="3">
        <f t="shared" si="93"/>
        <v>774</v>
      </c>
    </row>
    <row r="775" spans="1:1" x14ac:dyDescent="0.65">
      <c r="A775" s="3">
        <f t="shared" si="93"/>
        <v>775</v>
      </c>
    </row>
    <row r="776" spans="1:1" x14ac:dyDescent="0.65">
      <c r="A776" s="3">
        <f t="shared" si="93"/>
        <v>776</v>
      </c>
    </row>
    <row r="777" spans="1:1" x14ac:dyDescent="0.65">
      <c r="A777" s="3">
        <f t="shared" si="93"/>
        <v>777</v>
      </c>
    </row>
    <row r="778" spans="1:1" x14ac:dyDescent="0.65">
      <c r="A778" s="3">
        <f t="shared" si="93"/>
        <v>778</v>
      </c>
    </row>
    <row r="779" spans="1:1" x14ac:dyDescent="0.65">
      <c r="A779" s="3">
        <f t="shared" si="93"/>
        <v>779</v>
      </c>
    </row>
    <row r="780" spans="1:1" x14ac:dyDescent="0.65">
      <c r="A780" s="3">
        <f t="shared" si="93"/>
        <v>780</v>
      </c>
    </row>
    <row r="781" spans="1:1" x14ac:dyDescent="0.65">
      <c r="A781" s="3">
        <f t="shared" si="93"/>
        <v>781</v>
      </c>
    </row>
    <row r="782" spans="1:1" x14ac:dyDescent="0.65">
      <c r="A782" s="3">
        <f t="shared" si="93"/>
        <v>782</v>
      </c>
    </row>
    <row r="783" spans="1:1" x14ac:dyDescent="0.65">
      <c r="A783" s="3">
        <f t="shared" si="93"/>
        <v>783</v>
      </c>
    </row>
    <row r="784" spans="1:1" x14ac:dyDescent="0.65">
      <c r="A784" s="3">
        <f t="shared" si="93"/>
        <v>784</v>
      </c>
    </row>
    <row r="785" spans="1:1" x14ac:dyDescent="0.65">
      <c r="A785" s="3">
        <f t="shared" si="93"/>
        <v>785</v>
      </c>
    </row>
    <row r="786" spans="1:1" x14ac:dyDescent="0.65">
      <c r="A786" s="3">
        <f t="shared" si="93"/>
        <v>786</v>
      </c>
    </row>
    <row r="787" spans="1:1" x14ac:dyDescent="0.65">
      <c r="A787" s="3">
        <f t="shared" si="93"/>
        <v>787</v>
      </c>
    </row>
    <row r="788" spans="1:1" x14ac:dyDescent="0.65">
      <c r="A788" s="3">
        <f t="shared" si="93"/>
        <v>788</v>
      </c>
    </row>
    <row r="789" spans="1:1" x14ac:dyDescent="0.65">
      <c r="A789" s="3">
        <f t="shared" si="93"/>
        <v>789</v>
      </c>
    </row>
    <row r="790" spans="1:1" x14ac:dyDescent="0.65">
      <c r="A790" s="3">
        <f t="shared" si="93"/>
        <v>790</v>
      </c>
    </row>
    <row r="791" spans="1:1" x14ac:dyDescent="0.65">
      <c r="A791" s="3">
        <f t="shared" si="93"/>
        <v>791</v>
      </c>
    </row>
    <row r="792" spans="1:1" x14ac:dyDescent="0.65">
      <c r="A792" s="3">
        <f t="shared" si="93"/>
        <v>792</v>
      </c>
    </row>
    <row r="793" spans="1:1" x14ac:dyDescent="0.65">
      <c r="A793" s="3">
        <f t="shared" si="93"/>
        <v>793</v>
      </c>
    </row>
    <row r="794" spans="1:1" x14ac:dyDescent="0.65">
      <c r="A794" s="3">
        <f t="shared" si="93"/>
        <v>794</v>
      </c>
    </row>
    <row r="795" spans="1:1" x14ac:dyDescent="0.65">
      <c r="A795" s="3">
        <f t="shared" si="93"/>
        <v>795</v>
      </c>
    </row>
    <row r="796" spans="1:1" x14ac:dyDescent="0.65">
      <c r="A796" s="3">
        <f t="shared" si="93"/>
        <v>796</v>
      </c>
    </row>
    <row r="797" spans="1:1" x14ac:dyDescent="0.65">
      <c r="A797" s="3">
        <f t="shared" si="93"/>
        <v>797</v>
      </c>
    </row>
    <row r="798" spans="1:1" x14ac:dyDescent="0.65">
      <c r="A798" s="3">
        <f t="shared" si="93"/>
        <v>798</v>
      </c>
    </row>
    <row r="799" spans="1:1" x14ac:dyDescent="0.65">
      <c r="A799" s="3">
        <f t="shared" si="93"/>
        <v>799</v>
      </c>
    </row>
    <row r="800" spans="1:1" x14ac:dyDescent="0.65">
      <c r="A800" s="3">
        <f t="shared" si="93"/>
        <v>800</v>
      </c>
    </row>
    <row r="801" spans="1:1" x14ac:dyDescent="0.65">
      <c r="A801" s="3">
        <f t="shared" si="93"/>
        <v>801</v>
      </c>
    </row>
    <row r="802" spans="1:1" x14ac:dyDescent="0.65">
      <c r="A802" s="3">
        <f t="shared" si="93"/>
        <v>802</v>
      </c>
    </row>
    <row r="803" spans="1:1" x14ac:dyDescent="0.65">
      <c r="A803" s="3">
        <f t="shared" si="93"/>
        <v>803</v>
      </c>
    </row>
    <row r="804" spans="1:1" x14ac:dyDescent="0.65">
      <c r="A804" s="3">
        <f t="shared" si="93"/>
        <v>804</v>
      </c>
    </row>
    <row r="805" spans="1:1" x14ac:dyDescent="0.65">
      <c r="A805" s="3">
        <f t="shared" si="93"/>
        <v>805</v>
      </c>
    </row>
    <row r="806" spans="1:1" x14ac:dyDescent="0.65">
      <c r="A806" s="3">
        <f t="shared" si="93"/>
        <v>806</v>
      </c>
    </row>
    <row r="807" spans="1:1" x14ac:dyDescent="0.65">
      <c r="A807" s="3">
        <f t="shared" si="93"/>
        <v>807</v>
      </c>
    </row>
    <row r="808" spans="1:1" x14ac:dyDescent="0.65">
      <c r="A808" s="3">
        <f t="shared" si="93"/>
        <v>808</v>
      </c>
    </row>
    <row r="809" spans="1:1" x14ac:dyDescent="0.65">
      <c r="A809" s="3">
        <f t="shared" si="93"/>
        <v>809</v>
      </c>
    </row>
    <row r="810" spans="1:1" x14ac:dyDescent="0.65">
      <c r="A810" s="3">
        <f t="shared" si="93"/>
        <v>810</v>
      </c>
    </row>
    <row r="811" spans="1:1" x14ac:dyDescent="0.65">
      <c r="A811" s="3">
        <f t="shared" si="93"/>
        <v>811</v>
      </c>
    </row>
    <row r="812" spans="1:1" x14ac:dyDescent="0.65">
      <c r="A812" s="3">
        <f t="shared" si="93"/>
        <v>812</v>
      </c>
    </row>
    <row r="813" spans="1:1" x14ac:dyDescent="0.65">
      <c r="A813" s="3">
        <f t="shared" si="93"/>
        <v>813</v>
      </c>
    </row>
  </sheetData>
  <mergeCells count="1063">
    <mergeCell ref="B2:C3"/>
    <mergeCell ref="O25:P25"/>
    <mergeCell ref="O26:P26"/>
    <mergeCell ref="O19:P19"/>
    <mergeCell ref="O20:P20"/>
    <mergeCell ref="O21:P21"/>
    <mergeCell ref="O22:P22"/>
    <mergeCell ref="O23:P23"/>
    <mergeCell ref="O24:P24"/>
    <mergeCell ref="O13:P13"/>
    <mergeCell ref="O14:P14"/>
    <mergeCell ref="O15:P15"/>
    <mergeCell ref="O16:P16"/>
    <mergeCell ref="O17:P17"/>
    <mergeCell ref="O18:P18"/>
    <mergeCell ref="O7:P7"/>
    <mergeCell ref="O8:P8"/>
    <mergeCell ref="O9:P9"/>
    <mergeCell ref="O10:P10"/>
    <mergeCell ref="O11:P11"/>
    <mergeCell ref="O12:P12"/>
    <mergeCell ref="D232:E232"/>
    <mergeCell ref="F232:G232"/>
    <mergeCell ref="H232:I232"/>
    <mergeCell ref="J232:K232"/>
    <mergeCell ref="M232:N232"/>
    <mergeCell ref="D233:E233"/>
    <mergeCell ref="F233:G233"/>
    <mergeCell ref="H233:I233"/>
    <mergeCell ref="J233:K233"/>
    <mergeCell ref="M233:N233"/>
    <mergeCell ref="D230:E230"/>
    <mergeCell ref="F230:G230"/>
    <mergeCell ref="H230:I230"/>
    <mergeCell ref="J230:K230"/>
    <mergeCell ref="M230:N230"/>
    <mergeCell ref="D231:E231"/>
    <mergeCell ref="F231:G231"/>
    <mergeCell ref="H231:I231"/>
    <mergeCell ref="J231:K231"/>
    <mergeCell ref="M231:N231"/>
    <mergeCell ref="D228:E228"/>
    <mergeCell ref="F228:G228"/>
    <mergeCell ref="H228:I228"/>
    <mergeCell ref="J228:K228"/>
    <mergeCell ref="M228:N228"/>
    <mergeCell ref="D229:E229"/>
    <mergeCell ref="F229:G229"/>
    <mergeCell ref="H229:I229"/>
    <mergeCell ref="J229:K229"/>
    <mergeCell ref="M229:N229"/>
    <mergeCell ref="D226:E226"/>
    <mergeCell ref="F226:G226"/>
    <mergeCell ref="H226:I226"/>
    <mergeCell ref="J226:K226"/>
    <mergeCell ref="M226:N226"/>
    <mergeCell ref="D227:E227"/>
    <mergeCell ref="F227:G227"/>
    <mergeCell ref="H227:I227"/>
    <mergeCell ref="J227:K227"/>
    <mergeCell ref="M227:N227"/>
    <mergeCell ref="D224:E224"/>
    <mergeCell ref="F224:G224"/>
    <mergeCell ref="H224:I224"/>
    <mergeCell ref="J224:K224"/>
    <mergeCell ref="M224:N224"/>
    <mergeCell ref="D225:E225"/>
    <mergeCell ref="F225:G225"/>
    <mergeCell ref="H225:I225"/>
    <mergeCell ref="J225:K225"/>
    <mergeCell ref="M225:N225"/>
    <mergeCell ref="D222:E222"/>
    <mergeCell ref="F222:G222"/>
    <mergeCell ref="H222:I222"/>
    <mergeCell ref="J222:K222"/>
    <mergeCell ref="M222:N222"/>
    <mergeCell ref="D223:E223"/>
    <mergeCell ref="F223:G223"/>
    <mergeCell ref="H223:I223"/>
    <mergeCell ref="J223:K223"/>
    <mergeCell ref="M223:N223"/>
    <mergeCell ref="D220:E220"/>
    <mergeCell ref="F220:G220"/>
    <mergeCell ref="H220:I220"/>
    <mergeCell ref="J220:K220"/>
    <mergeCell ref="M220:N220"/>
    <mergeCell ref="D221:E221"/>
    <mergeCell ref="F221:G221"/>
    <mergeCell ref="H221:I221"/>
    <mergeCell ref="J221:K221"/>
    <mergeCell ref="M221:N221"/>
    <mergeCell ref="D218:E218"/>
    <mergeCell ref="F218:G218"/>
    <mergeCell ref="H218:I218"/>
    <mergeCell ref="J218:K218"/>
    <mergeCell ref="M218:N218"/>
    <mergeCell ref="D219:E219"/>
    <mergeCell ref="F219:G219"/>
    <mergeCell ref="H219:I219"/>
    <mergeCell ref="J219:K219"/>
    <mergeCell ref="M219:N219"/>
    <mergeCell ref="D216:E216"/>
    <mergeCell ref="F216:G216"/>
    <mergeCell ref="H216:I216"/>
    <mergeCell ref="J216:K216"/>
    <mergeCell ref="M216:N216"/>
    <mergeCell ref="D217:E217"/>
    <mergeCell ref="F217:G217"/>
    <mergeCell ref="H217:I217"/>
    <mergeCell ref="J217:K217"/>
    <mergeCell ref="M217:N217"/>
    <mergeCell ref="M214:N214"/>
    <mergeCell ref="D215:E215"/>
    <mergeCell ref="F215:G215"/>
    <mergeCell ref="H215:I215"/>
    <mergeCell ref="J215:K215"/>
    <mergeCell ref="M215:N215"/>
    <mergeCell ref="D213:E213"/>
    <mergeCell ref="F213:G213"/>
    <mergeCell ref="H213:I213"/>
    <mergeCell ref="J213:K213"/>
    <mergeCell ref="D214:E214"/>
    <mergeCell ref="F214:G214"/>
    <mergeCell ref="H214:I214"/>
    <mergeCell ref="J214:K214"/>
    <mergeCell ref="D209:E209"/>
    <mergeCell ref="F209:G209"/>
    <mergeCell ref="H209:I209"/>
    <mergeCell ref="J209:K209"/>
    <mergeCell ref="M209:N209"/>
    <mergeCell ref="D210:E210"/>
    <mergeCell ref="F210:G210"/>
    <mergeCell ref="H210:I210"/>
    <mergeCell ref="J210:K210"/>
    <mergeCell ref="M210:N210"/>
    <mergeCell ref="D207:E207"/>
    <mergeCell ref="F207:G207"/>
    <mergeCell ref="H207:I207"/>
    <mergeCell ref="J207:K207"/>
    <mergeCell ref="M207:N207"/>
    <mergeCell ref="D208:E208"/>
    <mergeCell ref="F208:G208"/>
    <mergeCell ref="H208:I208"/>
    <mergeCell ref="J208:K208"/>
    <mergeCell ref="M208:N208"/>
    <mergeCell ref="D205:E205"/>
    <mergeCell ref="F205:G205"/>
    <mergeCell ref="H205:I205"/>
    <mergeCell ref="J205:K205"/>
    <mergeCell ref="M205:N205"/>
    <mergeCell ref="D206:E206"/>
    <mergeCell ref="F206:G206"/>
    <mergeCell ref="H206:I206"/>
    <mergeCell ref="J206:K206"/>
    <mergeCell ref="M206:N206"/>
    <mergeCell ref="D203:E203"/>
    <mergeCell ref="F203:G203"/>
    <mergeCell ref="H203:I203"/>
    <mergeCell ref="J203:K203"/>
    <mergeCell ref="M203:N203"/>
    <mergeCell ref="D204:E204"/>
    <mergeCell ref="F204:G204"/>
    <mergeCell ref="H204:I204"/>
    <mergeCell ref="J204:K204"/>
    <mergeCell ref="M204:N204"/>
    <mergeCell ref="D201:E201"/>
    <mergeCell ref="F201:G201"/>
    <mergeCell ref="H201:I201"/>
    <mergeCell ref="J201:K201"/>
    <mergeCell ref="M201:N201"/>
    <mergeCell ref="D202:E202"/>
    <mergeCell ref="F202:G202"/>
    <mergeCell ref="H202:I202"/>
    <mergeCell ref="J202:K202"/>
    <mergeCell ref="M202:N202"/>
    <mergeCell ref="D199:E199"/>
    <mergeCell ref="F199:G199"/>
    <mergeCell ref="H199:I199"/>
    <mergeCell ref="J199:K199"/>
    <mergeCell ref="M199:N199"/>
    <mergeCell ref="D200:E200"/>
    <mergeCell ref="F200:G200"/>
    <mergeCell ref="H200:I200"/>
    <mergeCell ref="J200:K200"/>
    <mergeCell ref="M200:N200"/>
    <mergeCell ref="D197:E197"/>
    <mergeCell ref="F197:G197"/>
    <mergeCell ref="H197:I197"/>
    <mergeCell ref="J197:K197"/>
    <mergeCell ref="M197:N197"/>
    <mergeCell ref="D198:E198"/>
    <mergeCell ref="F198:G198"/>
    <mergeCell ref="H198:I198"/>
    <mergeCell ref="J198:K198"/>
    <mergeCell ref="M198:N198"/>
    <mergeCell ref="D195:E195"/>
    <mergeCell ref="F195:G195"/>
    <mergeCell ref="H195:I195"/>
    <mergeCell ref="J195:K195"/>
    <mergeCell ref="M195:N195"/>
    <mergeCell ref="D196:E196"/>
    <mergeCell ref="F196:G196"/>
    <mergeCell ref="H196:I196"/>
    <mergeCell ref="J196:K196"/>
    <mergeCell ref="M196:N196"/>
    <mergeCell ref="D193:E193"/>
    <mergeCell ref="F193:G193"/>
    <mergeCell ref="H193:I193"/>
    <mergeCell ref="J193:K193"/>
    <mergeCell ref="M193:N193"/>
    <mergeCell ref="D194:E194"/>
    <mergeCell ref="F194:G194"/>
    <mergeCell ref="H194:I194"/>
    <mergeCell ref="J194:K194"/>
    <mergeCell ref="M194:N194"/>
    <mergeCell ref="M191:N191"/>
    <mergeCell ref="D192:E192"/>
    <mergeCell ref="F192:G192"/>
    <mergeCell ref="H192:I192"/>
    <mergeCell ref="J192:K192"/>
    <mergeCell ref="M192:N192"/>
    <mergeCell ref="D190:E190"/>
    <mergeCell ref="F190:G190"/>
    <mergeCell ref="H190:I190"/>
    <mergeCell ref="J190:K190"/>
    <mergeCell ref="D191:E191"/>
    <mergeCell ref="F191:G191"/>
    <mergeCell ref="H191:I191"/>
    <mergeCell ref="J191:K191"/>
    <mergeCell ref="D186:E186"/>
    <mergeCell ref="F186:G186"/>
    <mergeCell ref="H186:I186"/>
    <mergeCell ref="J186:K186"/>
    <mergeCell ref="M186:N186"/>
    <mergeCell ref="D187:E187"/>
    <mergeCell ref="F187:G187"/>
    <mergeCell ref="H187:I187"/>
    <mergeCell ref="J187:K187"/>
    <mergeCell ref="M187:N187"/>
    <mergeCell ref="D184:E184"/>
    <mergeCell ref="F184:G184"/>
    <mergeCell ref="H184:I184"/>
    <mergeCell ref="J184:K184"/>
    <mergeCell ref="M184:N184"/>
    <mergeCell ref="D185:E185"/>
    <mergeCell ref="F185:G185"/>
    <mergeCell ref="H185:I185"/>
    <mergeCell ref="J185:K185"/>
    <mergeCell ref="M185:N185"/>
    <mergeCell ref="D182:E182"/>
    <mergeCell ref="F182:G182"/>
    <mergeCell ref="H182:I182"/>
    <mergeCell ref="J182:K182"/>
    <mergeCell ref="M182:N182"/>
    <mergeCell ref="D183:E183"/>
    <mergeCell ref="F183:G183"/>
    <mergeCell ref="H183:I183"/>
    <mergeCell ref="J183:K183"/>
    <mergeCell ref="M183:N183"/>
    <mergeCell ref="D180:E180"/>
    <mergeCell ref="F180:G180"/>
    <mergeCell ref="H180:I180"/>
    <mergeCell ref="J180:K180"/>
    <mergeCell ref="M180:N180"/>
    <mergeCell ref="D181:E181"/>
    <mergeCell ref="F181:G181"/>
    <mergeCell ref="H181:I181"/>
    <mergeCell ref="J181:K181"/>
    <mergeCell ref="M181:N181"/>
    <mergeCell ref="D178:E178"/>
    <mergeCell ref="F178:G178"/>
    <mergeCell ref="H178:I178"/>
    <mergeCell ref="J178:K178"/>
    <mergeCell ref="M178:N178"/>
    <mergeCell ref="D179:E179"/>
    <mergeCell ref="F179:G179"/>
    <mergeCell ref="H179:I179"/>
    <mergeCell ref="J179:K179"/>
    <mergeCell ref="M179:N179"/>
    <mergeCell ref="D176:E176"/>
    <mergeCell ref="F176:G176"/>
    <mergeCell ref="H176:I176"/>
    <mergeCell ref="J176:K176"/>
    <mergeCell ref="M176:N176"/>
    <mergeCell ref="D177:E177"/>
    <mergeCell ref="F177:G177"/>
    <mergeCell ref="H177:I177"/>
    <mergeCell ref="J177:K177"/>
    <mergeCell ref="M177:N177"/>
    <mergeCell ref="D174:E174"/>
    <mergeCell ref="F174:G174"/>
    <mergeCell ref="H174:I174"/>
    <mergeCell ref="J174:K174"/>
    <mergeCell ref="M174:N174"/>
    <mergeCell ref="D175:E175"/>
    <mergeCell ref="F175:G175"/>
    <mergeCell ref="H175:I175"/>
    <mergeCell ref="J175:K175"/>
    <mergeCell ref="M175:N175"/>
    <mergeCell ref="D172:E172"/>
    <mergeCell ref="F172:G172"/>
    <mergeCell ref="H172:I172"/>
    <mergeCell ref="J172:K172"/>
    <mergeCell ref="M172:N172"/>
    <mergeCell ref="D173:E173"/>
    <mergeCell ref="F173:G173"/>
    <mergeCell ref="H173:I173"/>
    <mergeCell ref="J173:K173"/>
    <mergeCell ref="M173:N173"/>
    <mergeCell ref="D170:E170"/>
    <mergeCell ref="F170:G170"/>
    <mergeCell ref="H170:I170"/>
    <mergeCell ref="J170:K170"/>
    <mergeCell ref="M170:N170"/>
    <mergeCell ref="D171:E171"/>
    <mergeCell ref="F171:G171"/>
    <mergeCell ref="H171:I171"/>
    <mergeCell ref="J171:K171"/>
    <mergeCell ref="M171:N171"/>
    <mergeCell ref="M168:N168"/>
    <mergeCell ref="D169:E169"/>
    <mergeCell ref="F169:G169"/>
    <mergeCell ref="H169:I169"/>
    <mergeCell ref="J169:K169"/>
    <mergeCell ref="M169:N169"/>
    <mergeCell ref="D167:E167"/>
    <mergeCell ref="F167:G167"/>
    <mergeCell ref="H167:I167"/>
    <mergeCell ref="J167:K167"/>
    <mergeCell ref="D168:E168"/>
    <mergeCell ref="F168:G168"/>
    <mergeCell ref="H168:I168"/>
    <mergeCell ref="J168:K168"/>
    <mergeCell ref="D163:E163"/>
    <mergeCell ref="F163:G163"/>
    <mergeCell ref="H163:I163"/>
    <mergeCell ref="J163:K163"/>
    <mergeCell ref="M163:N163"/>
    <mergeCell ref="D164:E164"/>
    <mergeCell ref="F164:G164"/>
    <mergeCell ref="H164:I164"/>
    <mergeCell ref="J164:K164"/>
    <mergeCell ref="M164:N164"/>
    <mergeCell ref="D161:E161"/>
    <mergeCell ref="F161:G161"/>
    <mergeCell ref="H161:I161"/>
    <mergeCell ref="J161:K161"/>
    <mergeCell ref="M161:N161"/>
    <mergeCell ref="D162:E162"/>
    <mergeCell ref="F162:G162"/>
    <mergeCell ref="H162:I162"/>
    <mergeCell ref="J162:K162"/>
    <mergeCell ref="M162:N162"/>
    <mergeCell ref="D159:E159"/>
    <mergeCell ref="F159:G159"/>
    <mergeCell ref="H159:I159"/>
    <mergeCell ref="J159:K159"/>
    <mergeCell ref="M159:N159"/>
    <mergeCell ref="D160:E160"/>
    <mergeCell ref="F160:G160"/>
    <mergeCell ref="H160:I160"/>
    <mergeCell ref="J160:K160"/>
    <mergeCell ref="M160:N160"/>
    <mergeCell ref="D157:E157"/>
    <mergeCell ref="F157:G157"/>
    <mergeCell ref="H157:I157"/>
    <mergeCell ref="J157:K157"/>
    <mergeCell ref="M157:N157"/>
    <mergeCell ref="D158:E158"/>
    <mergeCell ref="F158:G158"/>
    <mergeCell ref="H158:I158"/>
    <mergeCell ref="J158:K158"/>
    <mergeCell ref="M158:N158"/>
    <mergeCell ref="D155:E155"/>
    <mergeCell ref="F155:G155"/>
    <mergeCell ref="H155:I155"/>
    <mergeCell ref="J155:K155"/>
    <mergeCell ref="M155:N155"/>
    <mergeCell ref="D156:E156"/>
    <mergeCell ref="F156:G156"/>
    <mergeCell ref="H156:I156"/>
    <mergeCell ref="J156:K156"/>
    <mergeCell ref="M156:N156"/>
    <mergeCell ref="D153:E153"/>
    <mergeCell ref="F153:G153"/>
    <mergeCell ref="H153:I153"/>
    <mergeCell ref="J153:K153"/>
    <mergeCell ref="M153:N153"/>
    <mergeCell ref="D154:E154"/>
    <mergeCell ref="F154:G154"/>
    <mergeCell ref="H154:I154"/>
    <mergeCell ref="J154:K154"/>
    <mergeCell ref="M154:N154"/>
    <mergeCell ref="D151:E151"/>
    <mergeCell ref="F151:G151"/>
    <mergeCell ref="H151:I151"/>
    <mergeCell ref="J151:K151"/>
    <mergeCell ref="M151:N151"/>
    <mergeCell ref="D152:E152"/>
    <mergeCell ref="F152:G152"/>
    <mergeCell ref="H152:I152"/>
    <mergeCell ref="J152:K152"/>
    <mergeCell ref="M152:N152"/>
    <mergeCell ref="D149:E149"/>
    <mergeCell ref="F149:G149"/>
    <mergeCell ref="H149:I149"/>
    <mergeCell ref="J149:K149"/>
    <mergeCell ref="M149:N149"/>
    <mergeCell ref="D150:E150"/>
    <mergeCell ref="F150:G150"/>
    <mergeCell ref="H150:I150"/>
    <mergeCell ref="J150:K150"/>
    <mergeCell ref="M150:N150"/>
    <mergeCell ref="D147:E147"/>
    <mergeCell ref="F147:G147"/>
    <mergeCell ref="H147:I147"/>
    <mergeCell ref="J147:K147"/>
    <mergeCell ref="M147:N147"/>
    <mergeCell ref="D148:E148"/>
    <mergeCell ref="F148:G148"/>
    <mergeCell ref="H148:I148"/>
    <mergeCell ref="J148:K148"/>
    <mergeCell ref="M148:N148"/>
    <mergeCell ref="M145:N145"/>
    <mergeCell ref="D146:E146"/>
    <mergeCell ref="F146:G146"/>
    <mergeCell ref="H146:I146"/>
    <mergeCell ref="J146:K146"/>
    <mergeCell ref="M146:N146"/>
    <mergeCell ref="D144:E144"/>
    <mergeCell ref="F144:G144"/>
    <mergeCell ref="H144:I144"/>
    <mergeCell ref="J144:K144"/>
    <mergeCell ref="D145:E145"/>
    <mergeCell ref="F145:G145"/>
    <mergeCell ref="H145:I145"/>
    <mergeCell ref="J145:K145"/>
    <mergeCell ref="D140:E140"/>
    <mergeCell ref="F140:G140"/>
    <mergeCell ref="H140:I140"/>
    <mergeCell ref="J140:K140"/>
    <mergeCell ref="M140:N140"/>
    <mergeCell ref="D141:E141"/>
    <mergeCell ref="F141:G141"/>
    <mergeCell ref="H141:I141"/>
    <mergeCell ref="J141:K141"/>
    <mergeCell ref="M141:N141"/>
    <mergeCell ref="D138:E138"/>
    <mergeCell ref="F138:G138"/>
    <mergeCell ref="H138:I138"/>
    <mergeCell ref="J138:K138"/>
    <mergeCell ref="M138:N138"/>
    <mergeCell ref="D139:E139"/>
    <mergeCell ref="F139:G139"/>
    <mergeCell ref="H139:I139"/>
    <mergeCell ref="J139:K139"/>
    <mergeCell ref="M139:N139"/>
    <mergeCell ref="D136:E136"/>
    <mergeCell ref="F136:G136"/>
    <mergeCell ref="H136:I136"/>
    <mergeCell ref="J136:K136"/>
    <mergeCell ref="M136:N136"/>
    <mergeCell ref="D137:E137"/>
    <mergeCell ref="F137:G137"/>
    <mergeCell ref="H137:I137"/>
    <mergeCell ref="J137:K137"/>
    <mergeCell ref="M137:N137"/>
    <mergeCell ref="D134:E134"/>
    <mergeCell ref="F134:G134"/>
    <mergeCell ref="H134:I134"/>
    <mergeCell ref="J134:K134"/>
    <mergeCell ref="M134:N134"/>
    <mergeCell ref="D135:E135"/>
    <mergeCell ref="F135:G135"/>
    <mergeCell ref="H135:I135"/>
    <mergeCell ref="J135:K135"/>
    <mergeCell ref="M135:N135"/>
    <mergeCell ref="D132:E132"/>
    <mergeCell ref="F132:G132"/>
    <mergeCell ref="H132:I132"/>
    <mergeCell ref="J132:K132"/>
    <mergeCell ref="M132:N132"/>
    <mergeCell ref="D133:E133"/>
    <mergeCell ref="F133:G133"/>
    <mergeCell ref="H133:I133"/>
    <mergeCell ref="J133:K133"/>
    <mergeCell ref="M133:N133"/>
    <mergeCell ref="D130:E130"/>
    <mergeCell ref="F130:G130"/>
    <mergeCell ref="H130:I130"/>
    <mergeCell ref="J130:K130"/>
    <mergeCell ref="M130:N130"/>
    <mergeCell ref="D131:E131"/>
    <mergeCell ref="F131:G131"/>
    <mergeCell ref="H131:I131"/>
    <mergeCell ref="J131:K131"/>
    <mergeCell ref="M131:N131"/>
    <mergeCell ref="D128:E128"/>
    <mergeCell ref="F128:G128"/>
    <mergeCell ref="H128:I128"/>
    <mergeCell ref="J128:K128"/>
    <mergeCell ref="M128:N128"/>
    <mergeCell ref="D129:E129"/>
    <mergeCell ref="F129:G129"/>
    <mergeCell ref="H129:I129"/>
    <mergeCell ref="J129:K129"/>
    <mergeCell ref="M129:N129"/>
    <mergeCell ref="D126:E126"/>
    <mergeCell ref="F126:G126"/>
    <mergeCell ref="H126:I126"/>
    <mergeCell ref="J126:K126"/>
    <mergeCell ref="M126:N126"/>
    <mergeCell ref="D127:E127"/>
    <mergeCell ref="F127:G127"/>
    <mergeCell ref="H127:I127"/>
    <mergeCell ref="J127:K127"/>
    <mergeCell ref="M127:N127"/>
    <mergeCell ref="D124:E124"/>
    <mergeCell ref="F124:G124"/>
    <mergeCell ref="H124:I124"/>
    <mergeCell ref="J124:K124"/>
    <mergeCell ref="M124:N124"/>
    <mergeCell ref="D125:E125"/>
    <mergeCell ref="F125:G125"/>
    <mergeCell ref="H125:I125"/>
    <mergeCell ref="J125:K125"/>
    <mergeCell ref="M125:N125"/>
    <mergeCell ref="M122:N122"/>
    <mergeCell ref="D123:E123"/>
    <mergeCell ref="F123:G123"/>
    <mergeCell ref="H123:I123"/>
    <mergeCell ref="J123:K123"/>
    <mergeCell ref="M123:N123"/>
    <mergeCell ref="D121:E121"/>
    <mergeCell ref="F121:G121"/>
    <mergeCell ref="H121:I121"/>
    <mergeCell ref="J121:K121"/>
    <mergeCell ref="D122:E122"/>
    <mergeCell ref="F122:G122"/>
    <mergeCell ref="H122:I122"/>
    <mergeCell ref="J122:K122"/>
    <mergeCell ref="D117:E117"/>
    <mergeCell ref="F117:G117"/>
    <mergeCell ref="H117:I117"/>
    <mergeCell ref="J117:K117"/>
    <mergeCell ref="M117:N117"/>
    <mergeCell ref="D118:E118"/>
    <mergeCell ref="F118:G118"/>
    <mergeCell ref="H118:I118"/>
    <mergeCell ref="J118:K118"/>
    <mergeCell ref="M118:N118"/>
    <mergeCell ref="D115:E115"/>
    <mergeCell ref="F115:G115"/>
    <mergeCell ref="H115:I115"/>
    <mergeCell ref="J115:K115"/>
    <mergeCell ref="M115:N115"/>
    <mergeCell ref="D116:E116"/>
    <mergeCell ref="F116:G116"/>
    <mergeCell ref="H116:I116"/>
    <mergeCell ref="J116:K116"/>
    <mergeCell ref="M116:N116"/>
    <mergeCell ref="D113:E113"/>
    <mergeCell ref="F113:G113"/>
    <mergeCell ref="H113:I113"/>
    <mergeCell ref="J113:K113"/>
    <mergeCell ref="M113:N113"/>
    <mergeCell ref="D114:E114"/>
    <mergeCell ref="F114:G114"/>
    <mergeCell ref="H114:I114"/>
    <mergeCell ref="J114:K114"/>
    <mergeCell ref="M114:N114"/>
    <mergeCell ref="D111:E111"/>
    <mergeCell ref="F111:G111"/>
    <mergeCell ref="H111:I111"/>
    <mergeCell ref="J111:K111"/>
    <mergeCell ref="M111:N111"/>
    <mergeCell ref="D112:E112"/>
    <mergeCell ref="F112:G112"/>
    <mergeCell ref="H112:I112"/>
    <mergeCell ref="J112:K112"/>
    <mergeCell ref="M112:N112"/>
    <mergeCell ref="D109:E109"/>
    <mergeCell ref="F109:G109"/>
    <mergeCell ref="H109:I109"/>
    <mergeCell ref="J109:K109"/>
    <mergeCell ref="M109:N109"/>
    <mergeCell ref="D110:E110"/>
    <mergeCell ref="F110:G110"/>
    <mergeCell ref="H110:I110"/>
    <mergeCell ref="J110:K110"/>
    <mergeCell ref="M110:N110"/>
    <mergeCell ref="D107:E107"/>
    <mergeCell ref="F107:G107"/>
    <mergeCell ref="H107:I107"/>
    <mergeCell ref="J107:K107"/>
    <mergeCell ref="M107:N107"/>
    <mergeCell ref="D108:E108"/>
    <mergeCell ref="F108:G108"/>
    <mergeCell ref="H108:I108"/>
    <mergeCell ref="J108:K108"/>
    <mergeCell ref="M108:N108"/>
    <mergeCell ref="D105:E105"/>
    <mergeCell ref="F105:G105"/>
    <mergeCell ref="H105:I105"/>
    <mergeCell ref="J105:K105"/>
    <mergeCell ref="M105:N105"/>
    <mergeCell ref="D106:E106"/>
    <mergeCell ref="F106:G106"/>
    <mergeCell ref="H106:I106"/>
    <mergeCell ref="J106:K106"/>
    <mergeCell ref="M106:N106"/>
    <mergeCell ref="D103:E103"/>
    <mergeCell ref="F103:G103"/>
    <mergeCell ref="H103:I103"/>
    <mergeCell ref="J103:K103"/>
    <mergeCell ref="M103:N103"/>
    <mergeCell ref="D104:E104"/>
    <mergeCell ref="F104:G104"/>
    <mergeCell ref="H104:I104"/>
    <mergeCell ref="J104:K104"/>
    <mergeCell ref="M104:N104"/>
    <mergeCell ref="D101:E101"/>
    <mergeCell ref="F101:G101"/>
    <mergeCell ref="H101:I101"/>
    <mergeCell ref="J101:K101"/>
    <mergeCell ref="M101:N101"/>
    <mergeCell ref="D102:E102"/>
    <mergeCell ref="F102:G102"/>
    <mergeCell ref="H102:I102"/>
    <mergeCell ref="J102:K102"/>
    <mergeCell ref="M102:N102"/>
    <mergeCell ref="M99:N99"/>
    <mergeCell ref="D100:E100"/>
    <mergeCell ref="F100:G100"/>
    <mergeCell ref="H100:I100"/>
    <mergeCell ref="J100:K100"/>
    <mergeCell ref="M100:N100"/>
    <mergeCell ref="D98:E98"/>
    <mergeCell ref="F98:G98"/>
    <mergeCell ref="H98:I98"/>
    <mergeCell ref="J98:K98"/>
    <mergeCell ref="D99:E99"/>
    <mergeCell ref="F99:G99"/>
    <mergeCell ref="H99:I99"/>
    <mergeCell ref="J99:K99"/>
    <mergeCell ref="D94:E94"/>
    <mergeCell ref="F94:G94"/>
    <mergeCell ref="H94:I94"/>
    <mergeCell ref="J94:K94"/>
    <mergeCell ref="M94:N94"/>
    <mergeCell ref="D95:E95"/>
    <mergeCell ref="F95:G95"/>
    <mergeCell ref="H95:I95"/>
    <mergeCell ref="J95:K95"/>
    <mergeCell ref="M95:N95"/>
    <mergeCell ref="D92:E92"/>
    <mergeCell ref="F92:G92"/>
    <mergeCell ref="H92:I92"/>
    <mergeCell ref="J92:K92"/>
    <mergeCell ref="M92:N92"/>
    <mergeCell ref="D93:E93"/>
    <mergeCell ref="F93:G93"/>
    <mergeCell ref="H93:I93"/>
    <mergeCell ref="J93:K93"/>
    <mergeCell ref="M93:N93"/>
    <mergeCell ref="D90:E90"/>
    <mergeCell ref="F90:G90"/>
    <mergeCell ref="H90:I90"/>
    <mergeCell ref="J90:K90"/>
    <mergeCell ref="M90:N90"/>
    <mergeCell ref="D91:E91"/>
    <mergeCell ref="F91:G91"/>
    <mergeCell ref="H91:I91"/>
    <mergeCell ref="J91:K91"/>
    <mergeCell ref="M91:N91"/>
    <mergeCell ref="D88:E88"/>
    <mergeCell ref="F88:G88"/>
    <mergeCell ref="H88:I88"/>
    <mergeCell ref="J88:K88"/>
    <mergeCell ref="M88:N88"/>
    <mergeCell ref="D89:E89"/>
    <mergeCell ref="F89:G89"/>
    <mergeCell ref="H89:I89"/>
    <mergeCell ref="J89:K89"/>
    <mergeCell ref="M89:N89"/>
    <mergeCell ref="D86:E86"/>
    <mergeCell ref="F86:G86"/>
    <mergeCell ref="H86:I86"/>
    <mergeCell ref="J86:K86"/>
    <mergeCell ref="M86:N86"/>
    <mergeCell ref="D87:E87"/>
    <mergeCell ref="F87:G87"/>
    <mergeCell ref="H87:I87"/>
    <mergeCell ref="J87:K87"/>
    <mergeCell ref="M87:N87"/>
    <mergeCell ref="D84:E84"/>
    <mergeCell ref="F84:G84"/>
    <mergeCell ref="H84:I84"/>
    <mergeCell ref="J84:K84"/>
    <mergeCell ref="M84:N84"/>
    <mergeCell ref="D85:E85"/>
    <mergeCell ref="F85:G85"/>
    <mergeCell ref="H85:I85"/>
    <mergeCell ref="J85:K85"/>
    <mergeCell ref="M85:N85"/>
    <mergeCell ref="D82:E82"/>
    <mergeCell ref="F82:G82"/>
    <mergeCell ref="H82:I82"/>
    <mergeCell ref="J82:K82"/>
    <mergeCell ref="M82:N82"/>
    <mergeCell ref="D83:E83"/>
    <mergeCell ref="F83:G83"/>
    <mergeCell ref="H83:I83"/>
    <mergeCell ref="J83:K83"/>
    <mergeCell ref="M83:N83"/>
    <mergeCell ref="D80:E80"/>
    <mergeCell ref="F80:G80"/>
    <mergeCell ref="H80:I80"/>
    <mergeCell ref="J80:K80"/>
    <mergeCell ref="M80:N80"/>
    <mergeCell ref="D81:E81"/>
    <mergeCell ref="F81:G81"/>
    <mergeCell ref="H81:I81"/>
    <mergeCell ref="J81:K81"/>
    <mergeCell ref="M81:N81"/>
    <mergeCell ref="D78:E78"/>
    <mergeCell ref="F78:G78"/>
    <mergeCell ref="H78:I78"/>
    <mergeCell ref="J78:K78"/>
    <mergeCell ref="M78:N78"/>
    <mergeCell ref="D79:E79"/>
    <mergeCell ref="F79:G79"/>
    <mergeCell ref="H79:I79"/>
    <mergeCell ref="J79:K79"/>
    <mergeCell ref="M79:N79"/>
    <mergeCell ref="M76:N76"/>
    <mergeCell ref="D77:E77"/>
    <mergeCell ref="F77:G77"/>
    <mergeCell ref="H77:I77"/>
    <mergeCell ref="J77:K77"/>
    <mergeCell ref="M77:N77"/>
    <mergeCell ref="D75:E75"/>
    <mergeCell ref="F75:G75"/>
    <mergeCell ref="H75:I75"/>
    <mergeCell ref="J75:K75"/>
    <mergeCell ref="D76:E76"/>
    <mergeCell ref="F76:G76"/>
    <mergeCell ref="H76:I76"/>
    <mergeCell ref="J76:K76"/>
    <mergeCell ref="D71:E71"/>
    <mergeCell ref="F71:G71"/>
    <mergeCell ref="H71:I71"/>
    <mergeCell ref="J71:K71"/>
    <mergeCell ref="M71:N71"/>
    <mergeCell ref="D72:E72"/>
    <mergeCell ref="F72:G72"/>
    <mergeCell ref="H72:I72"/>
    <mergeCell ref="J72:K72"/>
    <mergeCell ref="M72:N72"/>
    <mergeCell ref="D69:E69"/>
    <mergeCell ref="F69:G69"/>
    <mergeCell ref="H69:I69"/>
    <mergeCell ref="J69:K69"/>
    <mergeCell ref="M69:N69"/>
    <mergeCell ref="D70:E70"/>
    <mergeCell ref="F70:G70"/>
    <mergeCell ref="H70:I70"/>
    <mergeCell ref="J70:K70"/>
    <mergeCell ref="M70:N70"/>
    <mergeCell ref="D67:E67"/>
    <mergeCell ref="F67:G67"/>
    <mergeCell ref="H67:I67"/>
    <mergeCell ref="J67:K67"/>
    <mergeCell ref="M67:N67"/>
    <mergeCell ref="D68:E68"/>
    <mergeCell ref="F68:G68"/>
    <mergeCell ref="H68:I68"/>
    <mergeCell ref="J68:K68"/>
    <mergeCell ref="M68:N68"/>
    <mergeCell ref="D65:E65"/>
    <mergeCell ref="F65:G65"/>
    <mergeCell ref="H65:I65"/>
    <mergeCell ref="J65:K65"/>
    <mergeCell ref="M65:N65"/>
    <mergeCell ref="D66:E66"/>
    <mergeCell ref="F66:G66"/>
    <mergeCell ref="H66:I66"/>
    <mergeCell ref="J66:K66"/>
    <mergeCell ref="M66:N66"/>
    <mergeCell ref="D63:E63"/>
    <mergeCell ref="F63:G63"/>
    <mergeCell ref="H63:I63"/>
    <mergeCell ref="J63:K63"/>
    <mergeCell ref="M63:N63"/>
    <mergeCell ref="D64:E64"/>
    <mergeCell ref="F64:G64"/>
    <mergeCell ref="H64:I64"/>
    <mergeCell ref="J64:K64"/>
    <mergeCell ref="M64:N64"/>
    <mergeCell ref="D61:E61"/>
    <mergeCell ref="F61:G61"/>
    <mergeCell ref="H61:I61"/>
    <mergeCell ref="J61:K61"/>
    <mergeCell ref="M61:N61"/>
    <mergeCell ref="D62:E62"/>
    <mergeCell ref="F62:G62"/>
    <mergeCell ref="H62:I62"/>
    <mergeCell ref="J62:K62"/>
    <mergeCell ref="M62:N62"/>
    <mergeCell ref="D59:E59"/>
    <mergeCell ref="F59:G59"/>
    <mergeCell ref="H59:I59"/>
    <mergeCell ref="J59:K59"/>
    <mergeCell ref="M59:N59"/>
    <mergeCell ref="D60:E60"/>
    <mergeCell ref="F60:G60"/>
    <mergeCell ref="H60:I60"/>
    <mergeCell ref="J60:K60"/>
    <mergeCell ref="M60:N60"/>
    <mergeCell ref="D57:E57"/>
    <mergeCell ref="F57:G57"/>
    <mergeCell ref="H57:I57"/>
    <mergeCell ref="J57:K57"/>
    <mergeCell ref="M57:N57"/>
    <mergeCell ref="D58:E58"/>
    <mergeCell ref="F58:G58"/>
    <mergeCell ref="H58:I58"/>
    <mergeCell ref="J58:K58"/>
    <mergeCell ref="M58:N58"/>
    <mergeCell ref="D55:E55"/>
    <mergeCell ref="F55:G55"/>
    <mergeCell ref="H55:I55"/>
    <mergeCell ref="J55:K55"/>
    <mergeCell ref="M55:N55"/>
    <mergeCell ref="D56:E56"/>
    <mergeCell ref="F56:G56"/>
    <mergeCell ref="H56:I56"/>
    <mergeCell ref="J56:K56"/>
    <mergeCell ref="M56:N56"/>
    <mergeCell ref="M53:N53"/>
    <mergeCell ref="D54:E54"/>
    <mergeCell ref="F54:G54"/>
    <mergeCell ref="H54:I54"/>
    <mergeCell ref="J54:K54"/>
    <mergeCell ref="M54:N54"/>
    <mergeCell ref="D52:E52"/>
    <mergeCell ref="F52:G52"/>
    <mergeCell ref="H52:I52"/>
    <mergeCell ref="J52:K52"/>
    <mergeCell ref="D53:E53"/>
    <mergeCell ref="F53:G53"/>
    <mergeCell ref="H53:I53"/>
    <mergeCell ref="J53:K53"/>
    <mergeCell ref="D48:E48"/>
    <mergeCell ref="F48:G48"/>
    <mergeCell ref="H48:I48"/>
    <mergeCell ref="J48:K48"/>
    <mergeCell ref="M48:N48"/>
    <mergeCell ref="D49:E49"/>
    <mergeCell ref="F49:G49"/>
    <mergeCell ref="H49:I49"/>
    <mergeCell ref="J49:K49"/>
    <mergeCell ref="M49:N49"/>
    <mergeCell ref="D46:E46"/>
    <mergeCell ref="F46:G46"/>
    <mergeCell ref="H46:I46"/>
    <mergeCell ref="J46:K46"/>
    <mergeCell ref="M46:N46"/>
    <mergeCell ref="D47:E47"/>
    <mergeCell ref="F47:G47"/>
    <mergeCell ref="H47:I47"/>
    <mergeCell ref="J47:K47"/>
    <mergeCell ref="M47:N47"/>
    <mergeCell ref="D44:E44"/>
    <mergeCell ref="F44:G44"/>
    <mergeCell ref="H44:I44"/>
    <mergeCell ref="J44:K44"/>
    <mergeCell ref="M44:N44"/>
    <mergeCell ref="D45:E45"/>
    <mergeCell ref="F45:G45"/>
    <mergeCell ref="H45:I45"/>
    <mergeCell ref="J45:K45"/>
    <mergeCell ref="M45:N45"/>
    <mergeCell ref="D42:E42"/>
    <mergeCell ref="F42:G42"/>
    <mergeCell ref="H42:I42"/>
    <mergeCell ref="J42:K42"/>
    <mergeCell ref="M42:N42"/>
    <mergeCell ref="D43:E43"/>
    <mergeCell ref="F43:G43"/>
    <mergeCell ref="H43:I43"/>
    <mergeCell ref="J43:K43"/>
    <mergeCell ref="M43:N43"/>
    <mergeCell ref="D40:E40"/>
    <mergeCell ref="F40:G40"/>
    <mergeCell ref="H40:I40"/>
    <mergeCell ref="J40:K40"/>
    <mergeCell ref="M40:N40"/>
    <mergeCell ref="D41:E41"/>
    <mergeCell ref="F41:G41"/>
    <mergeCell ref="H41:I41"/>
    <mergeCell ref="J41:K41"/>
    <mergeCell ref="M41:N41"/>
    <mergeCell ref="D38:E38"/>
    <mergeCell ref="F38:G38"/>
    <mergeCell ref="H38:I38"/>
    <mergeCell ref="J38:K38"/>
    <mergeCell ref="M38:N38"/>
    <mergeCell ref="D39:E39"/>
    <mergeCell ref="F39:G39"/>
    <mergeCell ref="H39:I39"/>
    <mergeCell ref="J39:K39"/>
    <mergeCell ref="M39:N39"/>
    <mergeCell ref="D36:E36"/>
    <mergeCell ref="F36:G36"/>
    <mergeCell ref="H36:I36"/>
    <mergeCell ref="J36:K36"/>
    <mergeCell ref="M36:N36"/>
    <mergeCell ref="D37:E37"/>
    <mergeCell ref="F37:G37"/>
    <mergeCell ref="H37:I37"/>
    <mergeCell ref="J37:K37"/>
    <mergeCell ref="M37:N37"/>
    <mergeCell ref="D34:E34"/>
    <mergeCell ref="F34:G34"/>
    <mergeCell ref="H34:I34"/>
    <mergeCell ref="J34:K34"/>
    <mergeCell ref="M34:N34"/>
    <mergeCell ref="D35:E35"/>
    <mergeCell ref="F35:G35"/>
    <mergeCell ref="H35:I35"/>
    <mergeCell ref="J35:K35"/>
    <mergeCell ref="M35:N35"/>
    <mergeCell ref="D32:E32"/>
    <mergeCell ref="F32:G32"/>
    <mergeCell ref="H32:I32"/>
    <mergeCell ref="J32:K32"/>
    <mergeCell ref="M32:N32"/>
    <mergeCell ref="D33:E33"/>
    <mergeCell ref="F33:G33"/>
    <mergeCell ref="H33:I33"/>
    <mergeCell ref="J33:K33"/>
    <mergeCell ref="M33:N33"/>
    <mergeCell ref="D30:E30"/>
    <mergeCell ref="F30:G30"/>
    <mergeCell ref="H30:I30"/>
    <mergeCell ref="J30:K30"/>
    <mergeCell ref="M30:N30"/>
    <mergeCell ref="D31:E31"/>
    <mergeCell ref="F31:G31"/>
    <mergeCell ref="H31:I31"/>
    <mergeCell ref="J31:K31"/>
    <mergeCell ref="M31:N31"/>
    <mergeCell ref="D26:E26"/>
    <mergeCell ref="F26:G26"/>
    <mergeCell ref="H26:I26"/>
    <mergeCell ref="J26:K26"/>
    <mergeCell ref="M26:N26"/>
    <mergeCell ref="D29:E29"/>
    <mergeCell ref="F29:G29"/>
    <mergeCell ref="H29:I29"/>
    <mergeCell ref="J29:K29"/>
    <mergeCell ref="D24:E24"/>
    <mergeCell ref="F24:G24"/>
    <mergeCell ref="H24:I24"/>
    <mergeCell ref="J24:K24"/>
    <mergeCell ref="M24:N24"/>
    <mergeCell ref="D25:E25"/>
    <mergeCell ref="F25:G25"/>
    <mergeCell ref="H25:I25"/>
    <mergeCell ref="J25:K25"/>
    <mergeCell ref="M25:N25"/>
    <mergeCell ref="D22:E22"/>
    <mergeCell ref="F22:G22"/>
    <mergeCell ref="H22:I22"/>
    <mergeCell ref="J22:K22"/>
    <mergeCell ref="M22:N22"/>
    <mergeCell ref="D23:E23"/>
    <mergeCell ref="F23:G23"/>
    <mergeCell ref="H23:I23"/>
    <mergeCell ref="J23:K23"/>
    <mergeCell ref="M23:N23"/>
    <mergeCell ref="D20:E20"/>
    <mergeCell ref="F20:G20"/>
    <mergeCell ref="H20:I20"/>
    <mergeCell ref="J20:K20"/>
    <mergeCell ref="M20:N20"/>
    <mergeCell ref="D21:E21"/>
    <mergeCell ref="F21:G21"/>
    <mergeCell ref="H21:I21"/>
    <mergeCell ref="J21:K21"/>
    <mergeCell ref="M21:N21"/>
    <mergeCell ref="D18:E18"/>
    <mergeCell ref="F18:G18"/>
    <mergeCell ref="H18:I18"/>
    <mergeCell ref="J18:K18"/>
    <mergeCell ref="M18:N18"/>
    <mergeCell ref="D19:E19"/>
    <mergeCell ref="F19:G19"/>
    <mergeCell ref="H19:I19"/>
    <mergeCell ref="J19:K19"/>
    <mergeCell ref="M19:N19"/>
    <mergeCell ref="D16:E16"/>
    <mergeCell ref="F16:G16"/>
    <mergeCell ref="H16:I16"/>
    <mergeCell ref="J16:K16"/>
    <mergeCell ref="M16:N16"/>
    <mergeCell ref="D17:E17"/>
    <mergeCell ref="F17:G17"/>
    <mergeCell ref="H17:I17"/>
    <mergeCell ref="J17:K17"/>
    <mergeCell ref="M17:N17"/>
    <mergeCell ref="D14:E14"/>
    <mergeCell ref="F14:G14"/>
    <mergeCell ref="H14:I14"/>
    <mergeCell ref="J14:K14"/>
    <mergeCell ref="M14:N14"/>
    <mergeCell ref="D15:E15"/>
    <mergeCell ref="F15:G15"/>
    <mergeCell ref="H15:I15"/>
    <mergeCell ref="J15:K15"/>
    <mergeCell ref="M15:N15"/>
    <mergeCell ref="D12:E12"/>
    <mergeCell ref="F12:G12"/>
    <mergeCell ref="H12:I12"/>
    <mergeCell ref="J12:K12"/>
    <mergeCell ref="M12:N12"/>
    <mergeCell ref="D13:E13"/>
    <mergeCell ref="F13:G13"/>
    <mergeCell ref="H13:I13"/>
    <mergeCell ref="J13:K13"/>
    <mergeCell ref="M13:N13"/>
    <mergeCell ref="J6:K6"/>
    <mergeCell ref="D7:E7"/>
    <mergeCell ref="F7:G7"/>
    <mergeCell ref="H7:I7"/>
    <mergeCell ref="J7:K7"/>
    <mergeCell ref="M7:N7"/>
    <mergeCell ref="J2:K2"/>
    <mergeCell ref="J3:K3"/>
    <mergeCell ref="D6:E6"/>
    <mergeCell ref="F6:G6"/>
    <mergeCell ref="H6:I6"/>
    <mergeCell ref="D10:E10"/>
    <mergeCell ref="F10:G10"/>
    <mergeCell ref="H10:I10"/>
    <mergeCell ref="J10:K10"/>
    <mergeCell ref="M10:N10"/>
    <mergeCell ref="D11:E11"/>
    <mergeCell ref="F11:G11"/>
    <mergeCell ref="H11:I11"/>
    <mergeCell ref="J11:K11"/>
    <mergeCell ref="M11:N11"/>
    <mergeCell ref="D8:E8"/>
    <mergeCell ref="F8:G8"/>
    <mergeCell ref="H8:I8"/>
    <mergeCell ref="J8:K8"/>
    <mergeCell ref="M8:N8"/>
    <mergeCell ref="D9:E9"/>
    <mergeCell ref="F9:G9"/>
    <mergeCell ref="H9:I9"/>
    <mergeCell ref="J9:K9"/>
    <mergeCell ref="M9:N9"/>
  </mergeCells>
  <phoneticPr fontId="3" type="noConversion"/>
  <dataValidations count="2">
    <dataValidation type="list" allowBlank="1" showInputMessage="1" showErrorMessage="1" sqref="E3" xr:uid="{C121604C-72A7-49C4-8FEF-324F8C1F24B3}">
      <formula1>$AA$3:$AD$3</formula1>
    </dataValidation>
    <dataValidation type="list" allowBlank="1" showInputMessage="1" showErrorMessage="1" sqref="E2" xr:uid="{D95751C9-7045-4DC8-B494-61E61AE30572}">
      <formula1>"40,39,38,37,36"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源汐 林</dc:creator>
  <cp:lastModifiedBy>源汐 林</cp:lastModifiedBy>
  <dcterms:created xsi:type="dcterms:W3CDTF">2025-07-11T12:24:07Z</dcterms:created>
  <dcterms:modified xsi:type="dcterms:W3CDTF">2026-07-05T08:21:01Z</dcterms:modified>
</cp:coreProperties>
</file>