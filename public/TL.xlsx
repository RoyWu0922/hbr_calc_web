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othing./VSCode/hbr_calc_web/"/>
    </mc:Choice>
  </mc:AlternateContent>
  <xr:revisionPtr revIDLastSave="0" documentId="13_ncr:1_{9E54BDAE-6F87-C74F-A245-1C76AC5A8D59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排轴" sheetId="3" r:id="rId1"/>
    <sheet name="简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4" l="1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E2" i="4"/>
  <c r="C2" i="4"/>
  <c r="AI199" i="3"/>
  <c r="AH199" i="3"/>
  <c r="AG199" i="3"/>
  <c r="AF199" i="3"/>
  <c r="AE199" i="3"/>
  <c r="AD199" i="3"/>
  <c r="AI197" i="3"/>
  <c r="AH197" i="3"/>
  <c r="AG197" i="3"/>
  <c r="AF197" i="3"/>
  <c r="AE197" i="3"/>
  <c r="AD197" i="3"/>
  <c r="AI195" i="3"/>
  <c r="AH195" i="3"/>
  <c r="AG195" i="3"/>
  <c r="AF195" i="3"/>
  <c r="AE195" i="3"/>
  <c r="AD195" i="3"/>
  <c r="AI193" i="3"/>
  <c r="AH193" i="3"/>
  <c r="AG193" i="3"/>
  <c r="AF193" i="3"/>
  <c r="AE193" i="3"/>
  <c r="AD193" i="3"/>
  <c r="AI191" i="3"/>
  <c r="AH191" i="3"/>
  <c r="AG191" i="3"/>
  <c r="AF191" i="3"/>
  <c r="AE191" i="3"/>
  <c r="AD191" i="3"/>
  <c r="AI189" i="3"/>
  <c r="AH189" i="3"/>
  <c r="AG189" i="3"/>
  <c r="AF189" i="3"/>
  <c r="AE189" i="3"/>
  <c r="AD189" i="3"/>
  <c r="AI187" i="3"/>
  <c r="AH187" i="3"/>
  <c r="AG187" i="3"/>
  <c r="AF187" i="3"/>
  <c r="AE187" i="3"/>
  <c r="AD187" i="3"/>
  <c r="AI185" i="3"/>
  <c r="AH185" i="3"/>
  <c r="AG185" i="3"/>
  <c r="AF185" i="3"/>
  <c r="AE185" i="3"/>
  <c r="AD185" i="3"/>
  <c r="AI183" i="3"/>
  <c r="AH183" i="3"/>
  <c r="AG183" i="3"/>
  <c r="AF183" i="3"/>
  <c r="AE183" i="3"/>
  <c r="AD183" i="3"/>
  <c r="AI181" i="3"/>
  <c r="AH181" i="3"/>
  <c r="AG181" i="3"/>
  <c r="AF181" i="3"/>
  <c r="AE181" i="3"/>
  <c r="AD181" i="3"/>
  <c r="AI179" i="3"/>
  <c r="AH179" i="3"/>
  <c r="AG179" i="3"/>
  <c r="AF179" i="3"/>
  <c r="AE179" i="3"/>
  <c r="AD179" i="3"/>
  <c r="AI177" i="3"/>
  <c r="AH177" i="3"/>
  <c r="AG177" i="3"/>
  <c r="AF177" i="3"/>
  <c r="AE177" i="3"/>
  <c r="AD177" i="3"/>
  <c r="AI175" i="3"/>
  <c r="AH175" i="3"/>
  <c r="AG175" i="3"/>
  <c r="AF175" i="3"/>
  <c r="AE175" i="3"/>
  <c r="AD175" i="3"/>
  <c r="AI173" i="3"/>
  <c r="AH173" i="3"/>
  <c r="AG173" i="3"/>
  <c r="AF173" i="3"/>
  <c r="AE173" i="3"/>
  <c r="AD173" i="3"/>
  <c r="AI171" i="3"/>
  <c r="AH171" i="3"/>
  <c r="AG171" i="3"/>
  <c r="AF171" i="3"/>
  <c r="AE171" i="3"/>
  <c r="AD171" i="3"/>
  <c r="AI169" i="3"/>
  <c r="AH169" i="3"/>
  <c r="AG169" i="3"/>
  <c r="AF169" i="3"/>
  <c r="AE169" i="3"/>
  <c r="AD169" i="3"/>
  <c r="AI167" i="3"/>
  <c r="AH167" i="3"/>
  <c r="AG167" i="3"/>
  <c r="AF167" i="3"/>
  <c r="AE167" i="3"/>
  <c r="AD167" i="3"/>
  <c r="AI165" i="3"/>
  <c r="AH165" i="3"/>
  <c r="AG165" i="3"/>
  <c r="AF165" i="3"/>
  <c r="AE165" i="3"/>
  <c r="AD165" i="3"/>
  <c r="AI163" i="3"/>
  <c r="AH163" i="3"/>
  <c r="AG163" i="3"/>
  <c r="AF163" i="3"/>
  <c r="AE163" i="3"/>
  <c r="AD163" i="3"/>
  <c r="AI161" i="3"/>
  <c r="AH161" i="3"/>
  <c r="AG161" i="3"/>
  <c r="AF161" i="3"/>
  <c r="AE161" i="3"/>
  <c r="AD161" i="3"/>
  <c r="AI159" i="3"/>
  <c r="AH159" i="3"/>
  <c r="AG159" i="3"/>
  <c r="AF159" i="3"/>
  <c r="AE159" i="3"/>
  <c r="AD159" i="3"/>
  <c r="AI157" i="3"/>
  <c r="AH157" i="3"/>
  <c r="AG157" i="3"/>
  <c r="AF157" i="3"/>
  <c r="AE157" i="3"/>
  <c r="AD157" i="3"/>
  <c r="AI155" i="3"/>
  <c r="AH155" i="3"/>
  <c r="AG155" i="3"/>
  <c r="AF155" i="3"/>
  <c r="AE155" i="3"/>
  <c r="AD155" i="3"/>
  <c r="AI153" i="3"/>
  <c r="AH153" i="3"/>
  <c r="AG153" i="3"/>
  <c r="AF153" i="3"/>
  <c r="AE153" i="3"/>
  <c r="AD153" i="3"/>
  <c r="AI151" i="3"/>
  <c r="AH151" i="3"/>
  <c r="AG151" i="3"/>
  <c r="AF151" i="3"/>
  <c r="AE151" i="3"/>
  <c r="AD151" i="3"/>
  <c r="AI149" i="3"/>
  <c r="AH149" i="3"/>
  <c r="AG149" i="3"/>
  <c r="AF149" i="3"/>
  <c r="AE149" i="3"/>
  <c r="AD149" i="3"/>
  <c r="AI147" i="3"/>
  <c r="AH147" i="3"/>
  <c r="AG147" i="3"/>
  <c r="AF147" i="3"/>
  <c r="AE147" i="3"/>
  <c r="AD147" i="3"/>
  <c r="AI145" i="3"/>
  <c r="AH145" i="3"/>
  <c r="AG145" i="3"/>
  <c r="AF145" i="3"/>
  <c r="AE145" i="3"/>
  <c r="AD145" i="3"/>
  <c r="AI143" i="3"/>
  <c r="AH143" i="3"/>
  <c r="AG143" i="3"/>
  <c r="AF143" i="3"/>
  <c r="AE143" i="3"/>
  <c r="AD143" i="3"/>
  <c r="AI141" i="3"/>
  <c r="AH141" i="3"/>
  <c r="AG141" i="3"/>
  <c r="AF141" i="3"/>
  <c r="AE141" i="3"/>
  <c r="AD141" i="3"/>
  <c r="AI139" i="3"/>
  <c r="AH139" i="3"/>
  <c r="AG139" i="3"/>
  <c r="AF139" i="3"/>
  <c r="AE139" i="3"/>
  <c r="AD139" i="3"/>
  <c r="AI137" i="3"/>
  <c r="AH137" i="3"/>
  <c r="AG137" i="3"/>
  <c r="AF137" i="3"/>
  <c r="AE137" i="3"/>
  <c r="AD137" i="3"/>
  <c r="AI135" i="3"/>
  <c r="AH135" i="3"/>
  <c r="AG135" i="3"/>
  <c r="AF135" i="3"/>
  <c r="AE135" i="3"/>
  <c r="AD135" i="3"/>
  <c r="AI133" i="3"/>
  <c r="AH133" i="3"/>
  <c r="AG133" i="3"/>
  <c r="AF133" i="3"/>
  <c r="AE133" i="3"/>
  <c r="AD133" i="3"/>
  <c r="AI131" i="3"/>
  <c r="AH131" i="3"/>
  <c r="AG131" i="3"/>
  <c r="AF131" i="3"/>
  <c r="AE131" i="3"/>
  <c r="AD131" i="3"/>
  <c r="AI129" i="3"/>
  <c r="AH129" i="3"/>
  <c r="AG129" i="3"/>
  <c r="AF129" i="3"/>
  <c r="AE129" i="3"/>
  <c r="AD129" i="3"/>
  <c r="AI127" i="3"/>
  <c r="AH127" i="3"/>
  <c r="AG127" i="3"/>
  <c r="AF127" i="3"/>
  <c r="AE127" i="3"/>
  <c r="AD127" i="3"/>
  <c r="AI125" i="3"/>
  <c r="AH125" i="3"/>
  <c r="AG125" i="3"/>
  <c r="AF125" i="3"/>
  <c r="AE125" i="3"/>
  <c r="AD125" i="3"/>
  <c r="AI123" i="3"/>
  <c r="AH123" i="3"/>
  <c r="AG123" i="3"/>
  <c r="AF123" i="3"/>
  <c r="AE123" i="3"/>
  <c r="AD123" i="3"/>
  <c r="AI121" i="3"/>
  <c r="AH121" i="3"/>
  <c r="AG121" i="3"/>
  <c r="AF121" i="3"/>
  <c r="AE121" i="3"/>
  <c r="AD121" i="3"/>
  <c r="AI119" i="3"/>
  <c r="AH119" i="3"/>
  <c r="AG119" i="3"/>
  <c r="AF119" i="3"/>
  <c r="AE119" i="3"/>
  <c r="AD119" i="3"/>
  <c r="AI117" i="3"/>
  <c r="AH117" i="3"/>
  <c r="AG117" i="3"/>
  <c r="AF117" i="3"/>
  <c r="AE117" i="3"/>
  <c r="AD117" i="3"/>
  <c r="AI115" i="3"/>
  <c r="AH115" i="3"/>
  <c r="AG115" i="3"/>
  <c r="AF115" i="3"/>
  <c r="AE115" i="3"/>
  <c r="AD115" i="3"/>
  <c r="AI113" i="3"/>
  <c r="AH113" i="3"/>
  <c r="AG113" i="3"/>
  <c r="AF113" i="3"/>
  <c r="AE113" i="3"/>
  <c r="AD113" i="3"/>
  <c r="AI111" i="3"/>
  <c r="AH111" i="3"/>
  <c r="AG111" i="3"/>
  <c r="AF111" i="3"/>
  <c r="AE111" i="3"/>
  <c r="AD111" i="3"/>
  <c r="AI109" i="3"/>
  <c r="AH109" i="3"/>
  <c r="AG109" i="3"/>
  <c r="AF109" i="3"/>
  <c r="AE109" i="3"/>
  <c r="AD109" i="3"/>
  <c r="AI107" i="3"/>
  <c r="AH107" i="3"/>
  <c r="AG107" i="3"/>
  <c r="AF107" i="3"/>
  <c r="AE107" i="3"/>
  <c r="AD107" i="3"/>
  <c r="AI105" i="3"/>
  <c r="AH105" i="3"/>
  <c r="AG105" i="3"/>
  <c r="AF105" i="3"/>
  <c r="AE105" i="3"/>
  <c r="AD105" i="3"/>
  <c r="AI103" i="3"/>
  <c r="AH103" i="3"/>
  <c r="AG103" i="3"/>
  <c r="AF103" i="3"/>
  <c r="AE103" i="3"/>
  <c r="AD103" i="3"/>
  <c r="AI101" i="3"/>
  <c r="AH101" i="3"/>
  <c r="AG101" i="3"/>
  <c r="AF101" i="3"/>
  <c r="AE101" i="3"/>
  <c r="AD101" i="3"/>
  <c r="AI99" i="3"/>
  <c r="AH99" i="3"/>
  <c r="AG99" i="3"/>
  <c r="AF99" i="3"/>
  <c r="AE99" i="3"/>
  <c r="AD99" i="3"/>
  <c r="AI97" i="3"/>
  <c r="AH97" i="3"/>
  <c r="AG97" i="3"/>
  <c r="AF97" i="3"/>
  <c r="AE97" i="3"/>
  <c r="AD97" i="3"/>
  <c r="AI95" i="3"/>
  <c r="AH95" i="3"/>
  <c r="AG95" i="3"/>
  <c r="AF95" i="3"/>
  <c r="AE95" i="3"/>
  <c r="AD95" i="3"/>
  <c r="AI93" i="3"/>
  <c r="AH93" i="3"/>
  <c r="AG93" i="3"/>
  <c r="AF93" i="3"/>
  <c r="AE93" i="3"/>
  <c r="AD93" i="3"/>
  <c r="AI91" i="3"/>
  <c r="AH91" i="3"/>
  <c r="AG91" i="3"/>
  <c r="AF91" i="3"/>
  <c r="AE91" i="3"/>
  <c r="AD91" i="3"/>
  <c r="AI89" i="3"/>
  <c r="AH89" i="3"/>
  <c r="AG89" i="3"/>
  <c r="AF89" i="3"/>
  <c r="AE89" i="3"/>
  <c r="AD89" i="3"/>
  <c r="AI87" i="3"/>
  <c r="AH87" i="3"/>
  <c r="AG87" i="3"/>
  <c r="AF87" i="3"/>
  <c r="AE87" i="3"/>
  <c r="AD87" i="3"/>
  <c r="AI85" i="3"/>
  <c r="AH85" i="3"/>
  <c r="AG85" i="3"/>
  <c r="AF85" i="3"/>
  <c r="AE85" i="3"/>
  <c r="AD85" i="3"/>
  <c r="AI83" i="3"/>
  <c r="AH83" i="3"/>
  <c r="AG83" i="3"/>
  <c r="AF83" i="3"/>
  <c r="AE83" i="3"/>
  <c r="AD83" i="3"/>
  <c r="AI81" i="3"/>
  <c r="AH81" i="3"/>
  <c r="AG81" i="3"/>
  <c r="AF81" i="3"/>
  <c r="AE81" i="3"/>
  <c r="AD81" i="3"/>
  <c r="AI79" i="3"/>
  <c r="AH79" i="3"/>
  <c r="AG79" i="3"/>
  <c r="AF79" i="3"/>
  <c r="AE79" i="3"/>
  <c r="AD79" i="3"/>
  <c r="AI77" i="3"/>
  <c r="AH77" i="3"/>
  <c r="AG77" i="3"/>
  <c r="AF77" i="3"/>
  <c r="AE77" i="3"/>
  <c r="AD77" i="3"/>
  <c r="AI75" i="3"/>
  <c r="AH75" i="3"/>
  <c r="AG75" i="3"/>
  <c r="AF75" i="3"/>
  <c r="AE75" i="3"/>
  <c r="AD75" i="3"/>
  <c r="AI73" i="3"/>
  <c r="AH73" i="3"/>
  <c r="AG73" i="3"/>
  <c r="AF73" i="3"/>
  <c r="AE73" i="3"/>
  <c r="AD73" i="3"/>
  <c r="AI71" i="3"/>
  <c r="AH71" i="3"/>
  <c r="AG71" i="3"/>
  <c r="AF71" i="3"/>
  <c r="AE71" i="3"/>
  <c r="AD71" i="3"/>
  <c r="AI69" i="3"/>
  <c r="AH69" i="3"/>
  <c r="AG69" i="3"/>
  <c r="AF69" i="3"/>
  <c r="AE69" i="3"/>
  <c r="AD69" i="3"/>
  <c r="AI67" i="3"/>
  <c r="AH67" i="3"/>
  <c r="AG67" i="3"/>
  <c r="AF67" i="3"/>
  <c r="AE67" i="3"/>
  <c r="AD67" i="3"/>
  <c r="AI65" i="3"/>
  <c r="AH65" i="3"/>
  <c r="AG65" i="3"/>
  <c r="AF65" i="3"/>
  <c r="AE65" i="3"/>
  <c r="AD65" i="3"/>
  <c r="AI63" i="3"/>
  <c r="AH63" i="3"/>
  <c r="AG63" i="3"/>
  <c r="AF63" i="3"/>
  <c r="AE63" i="3"/>
  <c r="AD63" i="3"/>
  <c r="AI61" i="3"/>
  <c r="AH61" i="3"/>
  <c r="AG61" i="3"/>
  <c r="AF61" i="3"/>
  <c r="AE61" i="3"/>
  <c r="AD61" i="3"/>
  <c r="AI59" i="3"/>
  <c r="AH59" i="3"/>
  <c r="AG59" i="3"/>
  <c r="AF59" i="3"/>
  <c r="AE59" i="3"/>
  <c r="AD59" i="3"/>
  <c r="AI57" i="3"/>
  <c r="AH57" i="3"/>
  <c r="AG57" i="3"/>
  <c r="AF57" i="3"/>
  <c r="AE57" i="3"/>
  <c r="AD57" i="3"/>
  <c r="AI55" i="3"/>
  <c r="AH55" i="3"/>
  <c r="AG55" i="3"/>
  <c r="AF55" i="3"/>
  <c r="AE55" i="3"/>
  <c r="AD55" i="3"/>
  <c r="AI53" i="3"/>
  <c r="AH53" i="3"/>
  <c r="AG53" i="3"/>
  <c r="AF53" i="3"/>
  <c r="AE53" i="3"/>
  <c r="AD53" i="3"/>
  <c r="AI51" i="3"/>
  <c r="AH51" i="3"/>
  <c r="AG51" i="3"/>
  <c r="AF51" i="3"/>
  <c r="AE51" i="3"/>
  <c r="AD51" i="3"/>
  <c r="AI49" i="3"/>
  <c r="AH49" i="3"/>
  <c r="AG49" i="3"/>
  <c r="AF49" i="3"/>
  <c r="AD49" i="3"/>
  <c r="AI47" i="3"/>
  <c r="AH47" i="3"/>
  <c r="AG47" i="3"/>
  <c r="AF47" i="3"/>
  <c r="AD47" i="3"/>
  <c r="AI45" i="3"/>
  <c r="AH45" i="3"/>
  <c r="AG45" i="3"/>
  <c r="AF45" i="3"/>
  <c r="AE45" i="3"/>
  <c r="AD45" i="3"/>
  <c r="AF43" i="3"/>
  <c r="AE43" i="3"/>
  <c r="AD43" i="3"/>
  <c r="AA43" i="3"/>
  <c r="AF41" i="3"/>
  <c r="AE41" i="3"/>
  <c r="AD41" i="3"/>
  <c r="AA41" i="3"/>
  <c r="AF39" i="3"/>
  <c r="AE39" i="3"/>
  <c r="AD39" i="3"/>
  <c r="AA39" i="3"/>
  <c r="AF37" i="3"/>
  <c r="AE37" i="3"/>
  <c r="AD37" i="3"/>
  <c r="AA37" i="3"/>
  <c r="AF35" i="3"/>
  <c r="AE35" i="3"/>
  <c r="AD35" i="3"/>
  <c r="AA35" i="3"/>
  <c r="AF33" i="3"/>
  <c r="AE33" i="3"/>
  <c r="AD33" i="3"/>
  <c r="AA33" i="3"/>
  <c r="AF31" i="3"/>
  <c r="AE31" i="3"/>
  <c r="AD31" i="3"/>
  <c r="AA31" i="3"/>
  <c r="AF29" i="3"/>
  <c r="AE29" i="3"/>
  <c r="AD29" i="3"/>
  <c r="AA29" i="3"/>
  <c r="AF27" i="3"/>
  <c r="AE27" i="3"/>
  <c r="AD27" i="3"/>
  <c r="AA27" i="3"/>
  <c r="AF25" i="3"/>
  <c r="AE25" i="3"/>
  <c r="AD25" i="3"/>
  <c r="AA25" i="3"/>
  <c r="AF23" i="3"/>
  <c r="AE23" i="3"/>
  <c r="AD23" i="3"/>
  <c r="AA23" i="3"/>
  <c r="AF21" i="3"/>
  <c r="AE21" i="3"/>
  <c r="AD21" i="3"/>
  <c r="AA21" i="3"/>
  <c r="AF19" i="3"/>
  <c r="AE19" i="3"/>
  <c r="AD19" i="3"/>
  <c r="AA19" i="3"/>
  <c r="AF17" i="3"/>
  <c r="AE17" i="3"/>
  <c r="AD17" i="3"/>
  <c r="AA17" i="3"/>
  <c r="AF15" i="3"/>
  <c r="AE15" i="3"/>
  <c r="AD15" i="3"/>
  <c r="AA15" i="3"/>
  <c r="AF13" i="3"/>
  <c r="AE13" i="3"/>
  <c r="AD13" i="3"/>
  <c r="AA13" i="3"/>
  <c r="AF11" i="3"/>
  <c r="AE11" i="3"/>
  <c r="AD11" i="3"/>
  <c r="AA11" i="3"/>
  <c r="AF9" i="3"/>
  <c r="AE9" i="3"/>
  <c r="AD9" i="3"/>
  <c r="AA9" i="3"/>
  <c r="AF7" i="3"/>
  <c r="AE7" i="3"/>
  <c r="AD7" i="3"/>
  <c r="AA7" i="3"/>
  <c r="Y7" i="3"/>
  <c r="L6" i="3"/>
  <c r="G6" i="3"/>
  <c r="B6" i="3"/>
  <c r="AF5" i="3"/>
  <c r="AE5" i="3"/>
  <c r="AD5" i="3"/>
  <c r="AA5" i="3"/>
  <c r="Y5" i="3"/>
  <c r="H7" i="4" s="1"/>
  <c r="Q5" i="3"/>
  <c r="AJ4" i="3"/>
  <c r="Z5" i="3" s="1"/>
  <c r="AI3" i="3"/>
  <c r="AH3" i="3"/>
  <c r="AG3" i="3"/>
  <c r="AF3" i="3"/>
  <c r="AE3" i="3"/>
  <c r="AD3" i="3"/>
  <c r="AC2" i="3"/>
  <c r="AM7" i="3" l="1"/>
  <c r="AL7" i="3"/>
  <c r="AK7" i="3"/>
  <c r="S5" i="3"/>
  <c r="H8" i="4"/>
  <c r="Y9" i="3"/>
  <c r="Z7" i="3"/>
  <c r="AK191" i="3"/>
  <c r="AL189" i="3"/>
  <c r="AM187" i="3"/>
  <c r="AK175" i="3"/>
  <c r="AL173" i="3"/>
  <c r="AM171" i="3"/>
  <c r="AK159" i="3"/>
  <c r="AL157" i="3"/>
  <c r="AM155" i="3"/>
  <c r="AK143" i="3"/>
  <c r="AL141" i="3"/>
  <c r="AM139" i="3"/>
  <c r="AK127" i="3"/>
  <c r="AL125" i="3"/>
  <c r="AM123" i="3"/>
  <c r="AK111" i="3"/>
  <c r="AL109" i="3"/>
  <c r="AM107" i="3"/>
  <c r="AK95" i="3"/>
  <c r="AL93" i="3"/>
  <c r="AM91" i="3"/>
  <c r="AK79" i="3"/>
  <c r="AL77" i="3"/>
  <c r="AM75" i="3"/>
  <c r="AK63" i="3"/>
  <c r="AL61" i="3"/>
  <c r="AM59" i="3"/>
  <c r="AM49" i="3"/>
  <c r="AL47" i="3"/>
  <c r="AK189" i="3"/>
  <c r="AL187" i="3"/>
  <c r="AM185" i="3"/>
  <c r="AK173" i="3"/>
  <c r="AL171" i="3"/>
  <c r="AM169" i="3"/>
  <c r="AK157" i="3"/>
  <c r="AL155" i="3"/>
  <c r="AM153" i="3"/>
  <c r="AK141" i="3"/>
  <c r="AL139" i="3"/>
  <c r="AM137" i="3"/>
  <c r="AK125" i="3"/>
  <c r="AL123" i="3"/>
  <c r="AM121" i="3"/>
  <c r="AK109" i="3"/>
  <c r="AL107" i="3"/>
  <c r="AM105" i="3"/>
  <c r="AK93" i="3"/>
  <c r="AL91" i="3"/>
  <c r="AM89" i="3"/>
  <c r="AK77" i="3"/>
  <c r="AL75" i="3"/>
  <c r="AM73" i="3"/>
  <c r="AK61" i="3"/>
  <c r="AL59" i="3"/>
  <c r="AM57" i="3"/>
  <c r="AL49" i="3"/>
  <c r="AK47" i="3"/>
  <c r="AM199" i="3"/>
  <c r="AK187" i="3"/>
  <c r="AL185" i="3"/>
  <c r="AM183" i="3"/>
  <c r="AK171" i="3"/>
  <c r="AL169" i="3"/>
  <c r="AM167" i="3"/>
  <c r="AK155" i="3"/>
  <c r="AL153" i="3"/>
  <c r="AM151" i="3"/>
  <c r="AK139" i="3"/>
  <c r="AL137" i="3"/>
  <c r="AM135" i="3"/>
  <c r="AK123" i="3"/>
  <c r="AL121" i="3"/>
  <c r="AM119" i="3"/>
  <c r="AK107" i="3"/>
  <c r="AL105" i="3"/>
  <c r="AM103" i="3"/>
  <c r="AK91" i="3"/>
  <c r="AL89" i="3"/>
  <c r="AM87" i="3"/>
  <c r="AK75" i="3"/>
  <c r="AL73" i="3"/>
  <c r="AM71" i="3"/>
  <c r="AK59" i="3"/>
  <c r="AL57" i="3"/>
  <c r="AM55" i="3"/>
  <c r="AK49" i="3"/>
  <c r="AL199" i="3"/>
  <c r="AM197" i="3"/>
  <c r="AK185" i="3"/>
  <c r="AL183" i="3"/>
  <c r="AM181" i="3"/>
  <c r="AK169" i="3"/>
  <c r="AL167" i="3"/>
  <c r="AM165" i="3"/>
  <c r="AK153" i="3"/>
  <c r="AL151" i="3"/>
  <c r="AM149" i="3"/>
  <c r="AK137" i="3"/>
  <c r="AL135" i="3"/>
  <c r="AM133" i="3"/>
  <c r="AK121" i="3"/>
  <c r="AL119" i="3"/>
  <c r="AM117" i="3"/>
  <c r="AK105" i="3"/>
  <c r="AL103" i="3"/>
  <c r="AM101" i="3"/>
  <c r="AK89" i="3"/>
  <c r="AL87" i="3"/>
  <c r="AM85" i="3"/>
  <c r="AK73" i="3"/>
  <c r="AL71" i="3"/>
  <c r="AM69" i="3"/>
  <c r="AK57" i="3"/>
  <c r="AL55" i="3"/>
  <c r="AM53" i="3"/>
  <c r="AK199" i="3"/>
  <c r="AL197" i="3"/>
  <c r="AM195" i="3"/>
  <c r="AK183" i="3"/>
  <c r="AL181" i="3"/>
  <c r="AM179" i="3"/>
  <c r="AK167" i="3"/>
  <c r="AL165" i="3"/>
  <c r="AM163" i="3"/>
  <c r="AK151" i="3"/>
  <c r="AL149" i="3"/>
  <c r="AM147" i="3"/>
  <c r="AK135" i="3"/>
  <c r="AL133" i="3"/>
  <c r="AM131" i="3"/>
  <c r="AK119" i="3"/>
  <c r="AL117" i="3"/>
  <c r="AM115" i="3"/>
  <c r="AK103" i="3"/>
  <c r="AL101" i="3"/>
  <c r="AM99" i="3"/>
  <c r="AK87" i="3"/>
  <c r="AL85" i="3"/>
  <c r="AM83" i="3"/>
  <c r="AK71" i="3"/>
  <c r="AL69" i="3"/>
  <c r="AM67" i="3"/>
  <c r="AK55" i="3"/>
  <c r="AL53" i="3"/>
  <c r="AM51" i="3"/>
  <c r="AK197" i="3"/>
  <c r="AL195" i="3"/>
  <c r="AM193" i="3"/>
  <c r="AK181" i="3"/>
  <c r="AL179" i="3"/>
  <c r="AM177" i="3"/>
  <c r="AK165" i="3"/>
  <c r="AL163" i="3"/>
  <c r="AM161" i="3"/>
  <c r="AK149" i="3"/>
  <c r="AL147" i="3"/>
  <c r="AM145" i="3"/>
  <c r="AK133" i="3"/>
  <c r="AL131" i="3"/>
  <c r="AM129" i="3"/>
  <c r="AK117" i="3"/>
  <c r="AL115" i="3"/>
  <c r="AM113" i="3"/>
  <c r="AK101" i="3"/>
  <c r="AL99" i="3"/>
  <c r="AM97" i="3"/>
  <c r="AK85" i="3"/>
  <c r="AL83" i="3"/>
  <c r="AM81" i="3"/>
  <c r="AK69" i="3"/>
  <c r="AL67" i="3"/>
  <c r="AM65" i="3"/>
  <c r="AK53" i="3"/>
  <c r="AL51" i="3"/>
  <c r="AK195" i="3"/>
  <c r="AL193" i="3"/>
  <c r="AM191" i="3"/>
  <c r="AK179" i="3"/>
  <c r="AL177" i="3"/>
  <c r="AM175" i="3"/>
  <c r="AK163" i="3"/>
  <c r="AL161" i="3"/>
  <c r="AM159" i="3"/>
  <c r="AK147" i="3"/>
  <c r="AL145" i="3"/>
  <c r="AM143" i="3"/>
  <c r="AK131" i="3"/>
  <c r="AL129" i="3"/>
  <c r="AM127" i="3"/>
  <c r="AK115" i="3"/>
  <c r="AL113" i="3"/>
  <c r="AM111" i="3"/>
  <c r="AK99" i="3"/>
  <c r="AL97" i="3"/>
  <c r="AM95" i="3"/>
  <c r="AK83" i="3"/>
  <c r="AL81" i="3"/>
  <c r="AM79" i="3"/>
  <c r="AK67" i="3"/>
  <c r="AL65" i="3"/>
  <c r="AM63" i="3"/>
  <c r="AK51" i="3"/>
  <c r="AK193" i="3"/>
  <c r="AL191" i="3"/>
  <c r="AM189" i="3"/>
  <c r="AK177" i="3"/>
  <c r="AL175" i="3"/>
  <c r="AM173" i="3"/>
  <c r="AK161" i="3"/>
  <c r="AL159" i="3"/>
  <c r="AM157" i="3"/>
  <c r="AK145" i="3"/>
  <c r="AL143" i="3"/>
  <c r="AM141" i="3"/>
  <c r="AK129" i="3"/>
  <c r="AL127" i="3"/>
  <c r="AM125" i="3"/>
  <c r="AK113" i="3"/>
  <c r="AL111" i="3"/>
  <c r="AM109" i="3"/>
  <c r="AK97" i="3"/>
  <c r="AL95" i="3"/>
  <c r="AM93" i="3"/>
  <c r="AK81" i="3"/>
  <c r="AL79" i="3"/>
  <c r="AM77" i="3"/>
  <c r="AK65" i="3"/>
  <c r="AL63" i="3"/>
  <c r="AM61" i="3"/>
  <c r="AM47" i="3"/>
  <c r="Q6" i="3"/>
  <c r="AG5" i="3"/>
  <c r="AE49" i="3"/>
  <c r="AE47" i="3"/>
  <c r="AM9" i="3" l="1"/>
  <c r="AL9" i="3"/>
  <c r="AK9" i="3"/>
  <c r="H9" i="4"/>
  <c r="Y11" i="3"/>
  <c r="Z9" i="3"/>
  <c r="AH5" i="3"/>
  <c r="S6" i="3"/>
  <c r="H10" i="4" l="1"/>
  <c r="Y13" i="3"/>
  <c r="Z11" i="3"/>
  <c r="U5" i="3"/>
  <c r="AM11" i="3"/>
  <c r="AK11" i="3"/>
  <c r="AL11" i="3"/>
  <c r="AI5" i="3" l="1"/>
  <c r="U6" i="3"/>
  <c r="B8" i="3"/>
  <c r="G8" i="3"/>
  <c r="L8" i="3"/>
  <c r="AL13" i="3"/>
  <c r="AM13" i="3"/>
  <c r="AK13" i="3"/>
  <c r="H11" i="4"/>
  <c r="Z13" i="3"/>
  <c r="Y15" i="3"/>
  <c r="H12" i="4" l="1"/>
  <c r="Z15" i="3"/>
  <c r="Y17" i="3"/>
  <c r="AM15" i="3"/>
  <c r="AK15" i="3"/>
  <c r="AL15" i="3"/>
  <c r="Q7" i="3"/>
  <c r="H13" i="4" l="1"/>
  <c r="Z17" i="3"/>
  <c r="Y19" i="3"/>
  <c r="AM17" i="3"/>
  <c r="AL17" i="3"/>
  <c r="AK17" i="3"/>
  <c r="AG7" i="3"/>
  <c r="Q8" i="3"/>
  <c r="H14" i="4" l="1"/>
  <c r="Z19" i="3"/>
  <c r="Y21" i="3"/>
  <c r="AK19" i="3"/>
  <c r="AM19" i="3"/>
  <c r="AL19" i="3"/>
  <c r="S7" i="3"/>
  <c r="S8" i="3" l="1"/>
  <c r="AH7" i="3"/>
  <c r="H15" i="4"/>
  <c r="Y23" i="3"/>
  <c r="Z21" i="3"/>
  <c r="AL21" i="3"/>
  <c r="AM21" i="3"/>
  <c r="AK21" i="3"/>
  <c r="AK23" i="3" l="1"/>
  <c r="AM23" i="3"/>
  <c r="AL23" i="3"/>
  <c r="U7" i="3"/>
  <c r="H16" i="4"/>
  <c r="Y25" i="3"/>
  <c r="Z23" i="3"/>
  <c r="AL25" i="3" l="1"/>
  <c r="AM25" i="3"/>
  <c r="AK25" i="3"/>
  <c r="H17" i="4"/>
  <c r="Z25" i="3"/>
  <c r="Y27" i="3"/>
  <c r="U8" i="3"/>
  <c r="AI7" i="3"/>
  <c r="G10" i="3"/>
  <c r="L10" i="3"/>
  <c r="B10" i="3"/>
  <c r="H18" i="4" l="1"/>
  <c r="Y29" i="3"/>
  <c r="Z27" i="3"/>
  <c r="AM27" i="3"/>
  <c r="AL27" i="3"/>
  <c r="AK27" i="3"/>
  <c r="Q9" i="3"/>
  <c r="AL29" i="3" l="1"/>
  <c r="AM29" i="3"/>
  <c r="AK29" i="3"/>
  <c r="H19" i="4"/>
  <c r="Z29" i="3"/>
  <c r="Y31" i="3"/>
  <c r="Q10" i="3"/>
  <c r="AG9" i="3"/>
  <c r="H20" i="4" l="1"/>
  <c r="Z31" i="3"/>
  <c r="Y33" i="3"/>
  <c r="AM31" i="3"/>
  <c r="AK31" i="3"/>
  <c r="AL31" i="3"/>
  <c r="S9" i="3"/>
  <c r="S10" i="3" l="1"/>
  <c r="AH9" i="3"/>
  <c r="H21" i="4"/>
  <c r="Y35" i="3"/>
  <c r="Z33" i="3"/>
  <c r="AK33" i="3"/>
  <c r="AM33" i="3"/>
  <c r="AL33" i="3"/>
  <c r="AK35" i="3" l="1"/>
  <c r="AM35" i="3"/>
  <c r="AL35" i="3"/>
  <c r="U9" i="3"/>
  <c r="H22" i="4"/>
  <c r="Z35" i="3"/>
  <c r="Y37" i="3"/>
  <c r="H23" i="4" l="1"/>
  <c r="Y39" i="3"/>
  <c r="Z37" i="3"/>
  <c r="AI9" i="3"/>
  <c r="U10" i="3"/>
  <c r="L12" i="3"/>
  <c r="G12" i="3"/>
  <c r="B12" i="3"/>
  <c r="AL37" i="3"/>
  <c r="AM37" i="3"/>
  <c r="AK37" i="3"/>
  <c r="H24" i="4" l="1"/>
  <c r="Y41" i="3"/>
  <c r="Z39" i="3"/>
  <c r="Q11" i="3"/>
  <c r="AK39" i="3"/>
  <c r="AM39" i="3"/>
  <c r="AL39" i="3"/>
  <c r="Q12" i="3" l="1"/>
  <c r="AG11" i="3"/>
  <c r="H25" i="4"/>
  <c r="Z41" i="3"/>
  <c r="Y43" i="3"/>
  <c r="AL41" i="3"/>
  <c r="AK41" i="3"/>
  <c r="AM41" i="3"/>
  <c r="H26" i="4" l="1"/>
  <c r="Z43" i="3"/>
  <c r="AM43" i="3"/>
  <c r="AL43" i="3"/>
  <c r="AK43" i="3"/>
  <c r="S11" i="3"/>
  <c r="AM45" i="3" l="1"/>
  <c r="AL45" i="3"/>
  <c r="AK45" i="3"/>
  <c r="AH11" i="3"/>
  <c r="S12" i="3"/>
  <c r="U11" i="3" l="1"/>
  <c r="AI11" i="3" l="1"/>
  <c r="U12" i="3"/>
  <c r="B14" i="3"/>
  <c r="G14" i="3"/>
  <c r="L14" i="3"/>
  <c r="Q13" i="3" l="1"/>
  <c r="AG13" i="3" l="1"/>
  <c r="Q14" i="3"/>
  <c r="S13" i="3" l="1"/>
  <c r="S14" i="3" l="1"/>
  <c r="AH13" i="3"/>
  <c r="U13" i="3" l="1"/>
  <c r="AI13" i="3" l="1"/>
  <c r="U14" i="3"/>
  <c r="L16" i="3"/>
  <c r="B16" i="3"/>
  <c r="G16" i="3"/>
  <c r="Q15" i="3" l="1"/>
  <c r="AG15" i="3" l="1"/>
  <c r="Q16" i="3"/>
  <c r="S15" i="3" l="1"/>
  <c r="AH15" i="3" l="1"/>
  <c r="S16" i="3"/>
  <c r="U15" i="3" l="1"/>
  <c r="U16" i="3" l="1"/>
  <c r="AI15" i="3"/>
  <c r="B18" i="3"/>
  <c r="L18" i="3"/>
  <c r="G18" i="3"/>
  <c r="Q17" i="3" l="1"/>
  <c r="AG17" i="3" l="1"/>
  <c r="Q18" i="3"/>
  <c r="S17" i="3" l="1"/>
  <c r="S18" i="3" l="1"/>
  <c r="AH17" i="3"/>
  <c r="U17" i="3" l="1"/>
  <c r="AI17" i="3" l="1"/>
  <c r="U18" i="3"/>
  <c r="L20" i="3"/>
  <c r="G20" i="3"/>
  <c r="B20" i="3"/>
  <c r="Q19" i="3" l="1"/>
  <c r="Q20" i="3" l="1"/>
  <c r="AG19" i="3"/>
  <c r="S19" i="3" l="1"/>
  <c r="AH19" i="3" l="1"/>
  <c r="S20" i="3"/>
  <c r="U19" i="3" l="1"/>
  <c r="U20" i="3" l="1"/>
  <c r="AI19" i="3"/>
  <c r="B22" i="3"/>
  <c r="L22" i="3"/>
  <c r="G22" i="3"/>
  <c r="Q21" i="3" l="1"/>
  <c r="AG21" i="3" l="1"/>
  <c r="Q22" i="3"/>
  <c r="S21" i="3" l="1"/>
  <c r="AH21" i="3" l="1"/>
  <c r="S22" i="3"/>
  <c r="U21" i="3" l="1"/>
  <c r="AI21" i="3" l="1"/>
  <c r="U22" i="3"/>
  <c r="G24" i="3"/>
  <c r="B24" i="3"/>
  <c r="L24" i="3"/>
  <c r="Q23" i="3" l="1"/>
  <c r="Q24" i="3" l="1"/>
  <c r="AG23" i="3"/>
  <c r="S23" i="3" l="1"/>
  <c r="AH23" i="3" l="1"/>
  <c r="S24" i="3"/>
  <c r="U23" i="3" l="1"/>
  <c r="U24" i="3" l="1"/>
  <c r="AI23" i="3"/>
  <c r="L26" i="3"/>
  <c r="G26" i="3"/>
  <c r="B26" i="3"/>
  <c r="Q25" i="3" l="1"/>
  <c r="AG25" i="3" l="1"/>
  <c r="Q26" i="3"/>
  <c r="S25" i="3" l="1"/>
  <c r="S26" i="3" l="1"/>
  <c r="AH25" i="3"/>
  <c r="U25" i="3" l="1"/>
  <c r="AI25" i="3" l="1"/>
  <c r="U26" i="3"/>
  <c r="G28" i="3"/>
  <c r="B28" i="3"/>
  <c r="L28" i="3"/>
  <c r="Q27" i="3" l="1"/>
  <c r="Q28" i="3" l="1"/>
  <c r="AG27" i="3"/>
  <c r="S27" i="3" l="1"/>
  <c r="AH27" i="3" l="1"/>
  <c r="S28" i="3"/>
  <c r="U27" i="3" l="1"/>
  <c r="AI27" i="3" l="1"/>
  <c r="U28" i="3"/>
  <c r="B30" i="3"/>
  <c r="G30" i="3"/>
  <c r="L30" i="3"/>
  <c r="Q29" i="3" l="1"/>
  <c r="AG29" i="3" l="1"/>
  <c r="Q30" i="3"/>
  <c r="S29" i="3" l="1"/>
  <c r="S30" i="3" l="1"/>
  <c r="AH29" i="3"/>
  <c r="U29" i="3" l="1"/>
  <c r="AI29" i="3" l="1"/>
  <c r="U30" i="3"/>
  <c r="G32" i="3"/>
  <c r="L32" i="3"/>
  <c r="B32" i="3"/>
  <c r="Q31" i="3" l="1"/>
  <c r="AG31" i="3" l="1"/>
  <c r="Q32" i="3"/>
  <c r="S31" i="3" l="1"/>
  <c r="S32" i="3" l="1"/>
  <c r="AH31" i="3"/>
  <c r="U31" i="3" l="1"/>
  <c r="U32" i="3" l="1"/>
  <c r="AI31" i="3"/>
  <c r="L34" i="3"/>
  <c r="G34" i="3"/>
  <c r="B34" i="3"/>
  <c r="Q33" i="3" l="1"/>
  <c r="AG33" i="3" l="1"/>
  <c r="Q34" i="3"/>
  <c r="S33" i="3" l="1"/>
  <c r="S34" i="3" l="1"/>
  <c r="AH33" i="3"/>
  <c r="U33" i="3" l="1"/>
  <c r="AI33" i="3" l="1"/>
  <c r="U34" i="3"/>
  <c r="L36" i="3"/>
  <c r="G36" i="3"/>
  <c r="B36" i="3"/>
  <c r="Q35" i="3" l="1"/>
  <c r="Q36" i="3" l="1"/>
  <c r="AG35" i="3"/>
  <c r="S35" i="3" l="1"/>
  <c r="AH35" i="3" l="1"/>
  <c r="S36" i="3"/>
  <c r="U35" i="3" l="1"/>
  <c r="U36" i="3" l="1"/>
  <c r="AI35" i="3"/>
  <c r="B38" i="3"/>
  <c r="L38" i="3"/>
  <c r="G38" i="3"/>
  <c r="Q37" i="3" l="1"/>
  <c r="AG37" i="3" l="1"/>
  <c r="Q38" i="3"/>
  <c r="S37" i="3" l="1"/>
  <c r="S38" i="3" l="1"/>
  <c r="AH37" i="3"/>
  <c r="U37" i="3" l="1"/>
  <c r="AI37" i="3" l="1"/>
  <c r="U38" i="3"/>
  <c r="L40" i="3"/>
  <c r="B40" i="3"/>
  <c r="G40" i="3"/>
  <c r="Q39" i="3" l="1"/>
  <c r="Q40" i="3" l="1"/>
  <c r="AG39" i="3"/>
  <c r="S39" i="3" l="1"/>
  <c r="AH39" i="3" l="1"/>
  <c r="S40" i="3"/>
  <c r="U39" i="3" l="1"/>
  <c r="U40" i="3" l="1"/>
  <c r="AI39" i="3"/>
  <c r="L42" i="3"/>
  <c r="G42" i="3"/>
  <c r="B42" i="3"/>
  <c r="Q41" i="3" l="1"/>
  <c r="Q42" i="3" l="1"/>
  <c r="AG41" i="3"/>
  <c r="S41" i="3" l="1"/>
  <c r="S42" i="3" l="1"/>
  <c r="AH41" i="3"/>
  <c r="U41" i="3" l="1"/>
  <c r="U42" i="3" l="1"/>
  <c r="AI41" i="3"/>
  <c r="G44" i="3"/>
  <c r="L44" i="3"/>
  <c r="B44" i="3"/>
  <c r="Q43" i="3" l="1"/>
  <c r="Q44" i="3" l="1"/>
  <c r="AG43" i="3"/>
  <c r="S43" i="3" l="1"/>
  <c r="S44" i="3" l="1"/>
  <c r="AH43" i="3"/>
  <c r="U43" i="3" s="1"/>
  <c r="U44" i="3" l="1"/>
  <c r="AI43" i="3"/>
</calcChain>
</file>

<file path=xl/sharedStrings.xml><?xml version="1.0" encoding="utf-8"?>
<sst xmlns="http://schemas.openxmlformats.org/spreadsheetml/2006/main" count="83" uniqueCount="28">
  <si>
    <t>当前</t>
  </si>
  <si>
    <t>回合</t>
  </si>
  <si>
    <t>行动</t>
  </si>
  <si>
    <t>牢房</t>
  </si>
  <si>
    <t>被动
OD</t>
  </si>
  <si>
    <t>当前OD（Assist）</t>
  </si>
  <si>
    <t>当前OD</t>
  </si>
  <si>
    <t>本回合DR</t>
  </si>
  <si>
    <t>BOSS DR</t>
  </si>
  <si>
    <t>剩余 DR</t>
  </si>
  <si>
    <t>helpers</t>
  </si>
  <si>
    <t>当前SP</t>
  </si>
  <si>
    <t>消耗</t>
  </si>
  <si>
    <t>获得</t>
  </si>
  <si>
    <t>OD</t>
  </si>
  <si>
    <t>DR</t>
  </si>
  <si>
    <t>入场</t>
  </si>
  <si>
    <t>\</t>
  </si>
  <si>
    <t>请选择OD表达方式</t>
  </si>
  <si>
    <t>百分比</t>
  </si>
  <si>
    <t>【标题】（比如 第xx期打分 xx队 无限od流）</t>
  </si>
  <si>
    <t>轴作者</t>
  </si>
  <si>
    <t>队伍组成（前 | 后）</t>
  </si>
  <si>
    <t>【注意事项】（比如耳环、突破要求等）</t>
  </si>
  <si>
    <t>行动轴</t>
  </si>
  <si>
    <t>P</t>
  </si>
  <si>
    <t>☐</t>
  </si>
  <si>
    <r>
      <rPr>
        <sz val="11"/>
        <color rgb="FF175CEB"/>
        <rFont val="微软雅黑"/>
        <family val="2"/>
        <charset val="134"/>
      </rPr>
      <t>Copy-OD计算表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</si>
</sst>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Helvetica Neue"/>
      <family val="2"/>
      <scheme val="major"/>
    </font>
    <font>
      <sz val="9"/>
      <name val="宋体"/>
      <charset val="134"/>
    </font>
    <font>
      <sz val="10"/>
      <color theme="1"/>
      <name val="Calibri"/>
      <family val="2"/>
    </font>
    <font>
      <sz val="11"/>
      <color theme="1"/>
      <name val="宋体"/>
      <charset val="134"/>
    </font>
    <font>
      <sz val="10"/>
      <color rgb="FF000000"/>
      <name val="Segoe UI Symbol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sz val="11"/>
      <color theme="1"/>
      <name val="Helvetica Neue"/>
      <family val="2"/>
      <scheme val="minor"/>
    </font>
    <font>
      <sz val="11"/>
      <color rgb="FF175CEB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E8E6E6"/>
        <bgColor indexed="64"/>
      </patternFill>
    </fill>
    <fill>
      <patternFill patternType="none"/>
    </fill>
    <fill>
      <patternFill patternType="solid">
        <fgColor rgb="FFFFEEAD"/>
      </patternFill>
    </fill>
    <fill>
      <patternFill patternType="solid">
        <fgColor rgb="FFE5F6FF"/>
      </patternFill>
    </fill>
    <fill>
      <patternFill patternType="solid">
        <fgColor rgb="FFFFDCC4"/>
      </patternFill>
    </fill>
    <fill>
      <patternFill patternType="solid">
        <fgColor rgb="FFFFE9E8"/>
      </patternFill>
    </fill>
    <fill>
      <patternFill patternType="solid">
        <fgColor rgb="FFC7DCFF"/>
      </patternFill>
    </fill>
    <fill>
      <patternFill patternType="solid">
        <fgColor rgb="FFFFFF00"/>
        <bgColor rgb="FF000000"/>
      </patternFill>
    </fill>
    <fill>
      <patternFill patternType="solid">
        <fgColor rgb="FFFFF9E3"/>
      </patternFill>
    </fill>
    <fill>
      <patternFill patternType="solid">
        <fgColor rgb="FFD8D8D8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3EB"/>
      </patternFill>
    </fill>
    <fill>
      <patternFill patternType="solid">
        <fgColor rgb="FFFFC9C7"/>
      </patternFill>
    </fill>
    <fill>
      <patternFill patternType="solid">
        <fgColor rgb="FFE5EFFF"/>
      </patternFill>
    </fill>
  </fills>
  <borders count="2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3" applyNumberFormat="0" applyFill="0" applyBorder="0" applyProtection="0">
      <alignment vertical="center"/>
    </xf>
    <xf numFmtId="0" fontId="14" fillId="4" borderId="3">
      <alignment vertical="center"/>
    </xf>
  </cellStyleXfs>
  <cellXfs count="81">
    <xf numFmtId="0" fontId="0" fillId="0" borderId="0" xfId="0" applyBorder="1">
      <alignment vertical="center"/>
    </xf>
    <xf numFmtId="0" fontId="13" fillId="2" borderId="1" xfId="0" applyFont="1" applyFill="1" applyBorder="1">
      <alignment vertical="center"/>
    </xf>
    <xf numFmtId="0" fontId="13" fillId="2" borderId="2" xfId="0" applyFont="1" applyFill="1" applyBorder="1">
      <alignment vertical="center"/>
    </xf>
    <xf numFmtId="49" fontId="13" fillId="2" borderId="1" xfId="0" applyNumberFormat="1" applyFont="1" applyFill="1" applyBorder="1">
      <alignment vertical="center"/>
    </xf>
    <xf numFmtId="0" fontId="13" fillId="2" borderId="4" xfId="0" applyFont="1" applyFill="1" applyBorder="1">
      <alignment vertical="center"/>
    </xf>
    <xf numFmtId="49" fontId="2" fillId="2" borderId="8" xfId="0" applyNumberFormat="1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49" fontId="1" fillId="2" borderId="1" xfId="0" applyNumberFormat="1" applyFont="1" applyFill="1" applyBorder="1">
      <alignment vertical="center"/>
    </xf>
    <xf numFmtId="49" fontId="13" fillId="2" borderId="4" xfId="0" applyNumberFormat="1" applyFont="1" applyFill="1" applyBorder="1">
      <alignment vertical="center"/>
    </xf>
    <xf numFmtId="0" fontId="13" fillId="3" borderId="8" xfId="0" applyFont="1" applyFill="1" applyBorder="1">
      <alignment vertical="center"/>
    </xf>
    <xf numFmtId="0" fontId="13" fillId="3" borderId="1" xfId="0" applyFont="1" applyFill="1" applyBorder="1">
      <alignment vertical="center"/>
    </xf>
    <xf numFmtId="0" fontId="13" fillId="3" borderId="10" xfId="0" applyFont="1" applyFill="1" applyBorder="1">
      <alignment vertical="center"/>
    </xf>
    <xf numFmtId="0" fontId="13" fillId="3" borderId="2" xfId="0" applyFont="1" applyFill="1" applyBorder="1">
      <alignment vertical="center"/>
    </xf>
    <xf numFmtId="0" fontId="13" fillId="2" borderId="11" xfId="0" applyFont="1" applyFill="1" applyBorder="1">
      <alignment vertical="center"/>
    </xf>
    <xf numFmtId="0" fontId="3" fillId="5" borderId="9" xfId="1" applyFont="1" applyFill="1" applyBorder="1" applyAlignment="1">
      <alignment horizontal="center" vertical="center"/>
    </xf>
    <xf numFmtId="0" fontId="4" fillId="4" borderId="3" xfId="1" applyFont="1" applyAlignment="1">
      <alignment horizontal="center" vertical="center"/>
    </xf>
    <xf numFmtId="0" fontId="4" fillId="4" borderId="3" xfId="1" applyFont="1">
      <alignment vertical="center"/>
    </xf>
    <xf numFmtId="0" fontId="3" fillId="6" borderId="9" xfId="1" applyFont="1" applyFill="1" applyBorder="1" applyAlignment="1">
      <alignment horizontal="center" vertical="center"/>
    </xf>
    <xf numFmtId="0" fontId="3" fillId="7" borderId="9" xfId="1" applyFont="1" applyFill="1" applyBorder="1" applyAlignment="1">
      <alignment horizontal="center" vertical="center"/>
    </xf>
    <xf numFmtId="0" fontId="3" fillId="8" borderId="9" xfId="1" applyFont="1" applyFill="1" applyBorder="1" applyAlignment="1">
      <alignment horizontal="center" vertical="center"/>
    </xf>
    <xf numFmtId="0" fontId="3" fillId="9" borderId="9" xfId="1" applyFont="1" applyFill="1" applyBorder="1" applyAlignment="1">
      <alignment horizontal="center" vertical="center"/>
    </xf>
    <xf numFmtId="0" fontId="6" fillId="4" borderId="3" xfId="1" applyFont="1">
      <alignment vertical="center"/>
    </xf>
    <xf numFmtId="0" fontId="7" fillId="8" borderId="9" xfId="1" applyFont="1" applyFill="1" applyBorder="1" applyAlignment="1">
      <alignment horizontal="center" vertical="center"/>
    </xf>
    <xf numFmtId="0" fontId="8" fillId="4" borderId="14" xfId="1" applyFont="1" applyBorder="1">
      <alignment vertical="center"/>
    </xf>
    <xf numFmtId="0" fontId="3" fillId="4" borderId="3" xfId="1" applyFont="1" applyAlignment="1">
      <alignment horizontal="center" vertical="center"/>
    </xf>
    <xf numFmtId="0" fontId="3" fillId="11" borderId="9" xfId="1" applyFont="1" applyFill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/>
    </xf>
    <xf numFmtId="0" fontId="3" fillId="12" borderId="9" xfId="1" applyFont="1" applyFill="1" applyBorder="1" applyAlignment="1">
      <alignment horizontal="center" vertical="center"/>
    </xf>
    <xf numFmtId="0" fontId="14" fillId="4" borderId="3" xfId="1">
      <alignment vertical="center"/>
    </xf>
    <xf numFmtId="0" fontId="10" fillId="4" borderId="17" xfId="1" applyFont="1" applyBorder="1">
      <alignment vertical="center"/>
    </xf>
    <xf numFmtId="0" fontId="9" fillId="15" borderId="9" xfId="1" applyFont="1" applyFill="1" applyBorder="1" applyAlignment="1">
      <alignment horizontal="center" vertical="center"/>
    </xf>
    <xf numFmtId="0" fontId="9" fillId="7" borderId="16" xfId="1" applyFont="1" applyFill="1" applyBorder="1" applyAlignment="1">
      <alignment horizontal="center" vertical="center"/>
    </xf>
    <xf numFmtId="0" fontId="9" fillId="11" borderId="18" xfId="1" applyFont="1" applyFill="1" applyBorder="1" applyAlignment="1">
      <alignment horizontal="center" vertical="center"/>
    </xf>
    <xf numFmtId="0" fontId="9" fillId="11" borderId="19" xfId="1" applyFont="1" applyFill="1" applyBorder="1" applyAlignment="1">
      <alignment horizontal="center" vertical="center"/>
    </xf>
    <xf numFmtId="0" fontId="9" fillId="16" borderId="18" xfId="1" applyFont="1" applyFill="1" applyBorder="1" applyAlignment="1">
      <alignment horizontal="center" vertical="center"/>
    </xf>
    <xf numFmtId="0" fontId="9" fillId="16" borderId="19" xfId="1" applyFont="1" applyFill="1" applyBorder="1" applyAlignment="1">
      <alignment horizontal="center" vertical="center"/>
    </xf>
    <xf numFmtId="0" fontId="9" fillId="11" borderId="20" xfId="1" applyFont="1" applyFill="1" applyBorder="1" applyAlignment="1">
      <alignment horizontal="center" vertical="center"/>
    </xf>
    <xf numFmtId="0" fontId="9" fillId="11" borderId="16" xfId="1" applyFont="1" applyFill="1" applyBorder="1" applyAlignment="1">
      <alignment horizontal="center" vertical="center"/>
    </xf>
    <xf numFmtId="0" fontId="11" fillId="4" borderId="3" xfId="1" applyFont="1" applyAlignment="1">
      <alignment horizontal="center" vertical="center"/>
    </xf>
    <xf numFmtId="0" fontId="9" fillId="11" borderId="9" xfId="1" applyFont="1" applyFill="1" applyBorder="1" applyAlignment="1">
      <alignment horizontal="center" vertical="center"/>
    </xf>
    <xf numFmtId="49" fontId="4" fillId="4" borderId="3" xfId="1" applyNumberFormat="1" applyFont="1" applyAlignment="1">
      <alignment horizontal="center" vertical="center"/>
    </xf>
    <xf numFmtId="0" fontId="12" fillId="4" borderId="3" xfId="1" applyFont="1" applyAlignment="1">
      <alignment horizontal="center" vertical="center"/>
    </xf>
    <xf numFmtId="49" fontId="13" fillId="2" borderId="5" xfId="0" applyNumberFormat="1" applyFont="1" applyFill="1" applyBorder="1" applyAlignment="1">
      <alignment horizontal="center" vertical="center"/>
    </xf>
    <xf numFmtId="0" fontId="13" fillId="2" borderId="6" xfId="0" applyFont="1" applyFill="1" applyBorder="1">
      <alignment vertical="center"/>
    </xf>
    <xf numFmtId="0" fontId="13" fillId="2" borderId="7" xfId="0" applyFont="1" applyFill="1" applyBorder="1">
      <alignment vertical="center"/>
    </xf>
    <xf numFmtId="0" fontId="6" fillId="4" borderId="3" xfId="1" applyFont="1">
      <alignment vertical="center"/>
    </xf>
    <xf numFmtId="0" fontId="4" fillId="4" borderId="3" xfId="1" applyFont="1">
      <alignment vertical="center"/>
    </xf>
    <xf numFmtId="0" fontId="3" fillId="7" borderId="9" xfId="1" applyFont="1" applyFill="1" applyBorder="1" applyAlignment="1">
      <alignment horizontal="center" vertical="center"/>
    </xf>
    <xf numFmtId="0" fontId="4" fillId="4" borderId="9" xfId="1" applyFont="1" applyBorder="1" applyAlignment="1"/>
    <xf numFmtId="0" fontId="4" fillId="4" borderId="9" xfId="1" applyFont="1" applyBorder="1" applyAlignment="1">
      <alignment horizontal="center" vertical="center"/>
    </xf>
    <xf numFmtId="0" fontId="3" fillId="9" borderId="9" xfId="1" applyFont="1" applyFill="1" applyBorder="1" applyAlignment="1">
      <alignment horizontal="center" vertical="center" wrapText="1"/>
    </xf>
    <xf numFmtId="0" fontId="4" fillId="4" borderId="9" xfId="1" applyFont="1" applyBorder="1">
      <alignment vertical="center"/>
    </xf>
    <xf numFmtId="0" fontId="14" fillId="4" borderId="9" xfId="1" applyBorder="1" applyAlignment="1">
      <alignment horizontal="center" vertical="center"/>
    </xf>
    <xf numFmtId="0" fontId="14" fillId="4" borderId="9" xfId="1" applyBorder="1" applyAlignment="1">
      <alignment horizontal="center" vertical="center" wrapText="1"/>
    </xf>
    <xf numFmtId="0" fontId="3" fillId="5" borderId="15" xfId="1" applyFont="1" applyFill="1" applyBorder="1" applyAlignment="1">
      <alignment horizontal="center" vertical="center" wrapText="1"/>
    </xf>
    <xf numFmtId="0" fontId="14" fillId="4" borderId="16" xfId="1" applyBorder="1">
      <alignment vertical="center"/>
    </xf>
    <xf numFmtId="0" fontId="3" fillId="9" borderId="9" xfId="1" applyFont="1" applyFill="1" applyBorder="1" applyAlignment="1">
      <alignment horizontal="center" vertical="center"/>
    </xf>
    <xf numFmtId="0" fontId="5" fillId="10" borderId="9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0" fontId="14" fillId="4" borderId="13" xfId="1" applyBorder="1">
      <alignment vertical="center"/>
    </xf>
    <xf numFmtId="0" fontId="14" fillId="4" borderId="14" xfId="1" applyBorder="1">
      <alignment vertical="center"/>
    </xf>
    <xf numFmtId="0" fontId="3" fillId="5" borderId="9" xfId="1" applyFont="1" applyFill="1" applyBorder="1" applyAlignment="1">
      <alignment horizontal="center" vertical="center"/>
    </xf>
    <xf numFmtId="0" fontId="14" fillId="4" borderId="9" xfId="1" applyBorder="1">
      <alignment vertical="center"/>
    </xf>
    <xf numFmtId="0" fontId="3" fillId="8" borderId="12" xfId="1" applyFont="1" applyFill="1" applyBorder="1" applyAlignment="1">
      <alignment horizontal="center" vertical="center"/>
    </xf>
    <xf numFmtId="0" fontId="3" fillId="7" borderId="12" xfId="1" applyFont="1" applyFill="1" applyBorder="1" applyAlignment="1">
      <alignment horizontal="center" vertical="center"/>
    </xf>
    <xf numFmtId="0" fontId="3" fillId="7" borderId="14" xfId="1" applyFont="1" applyFill="1" applyBorder="1" applyAlignment="1">
      <alignment horizontal="center" vertical="center"/>
    </xf>
    <xf numFmtId="0" fontId="14" fillId="13" borderId="9" xfId="1" applyFill="1" applyBorder="1" applyAlignment="1">
      <alignment horizontal="center" vertical="center" wrapText="1"/>
    </xf>
    <xf numFmtId="0" fontId="3" fillId="5" borderId="12" xfId="1" applyFont="1" applyFill="1" applyBorder="1" applyAlignment="1">
      <alignment horizontal="center" vertical="center" wrapText="1"/>
    </xf>
    <xf numFmtId="0" fontId="14" fillId="4" borderId="12" xfId="1" applyBorder="1" applyAlignment="1">
      <alignment horizontal="center" vertical="center"/>
    </xf>
    <xf numFmtId="0" fontId="4" fillId="4" borderId="3" xfId="1" applyFont="1" applyAlignment="1">
      <alignment horizontal="center" vertical="center"/>
    </xf>
    <xf numFmtId="0" fontId="3" fillId="11" borderId="9" xfId="1" applyFont="1" applyFill="1" applyBorder="1" applyAlignment="1">
      <alignment horizontal="center" vertical="center"/>
    </xf>
    <xf numFmtId="49" fontId="14" fillId="4" borderId="9" xfId="1" applyNumberFormat="1" applyBorder="1" applyAlignment="1">
      <alignment horizontal="center" vertical="center"/>
    </xf>
    <xf numFmtId="49" fontId="4" fillId="4" borderId="9" xfId="1" applyNumberFormat="1" applyFont="1" applyBorder="1" applyAlignment="1">
      <alignment horizontal="center" vertical="center"/>
    </xf>
    <xf numFmtId="49" fontId="3" fillId="5" borderId="9" xfId="1" applyNumberFormat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 wrapText="1"/>
    </xf>
    <xf numFmtId="49" fontId="3" fillId="8" borderId="9" xfId="1" applyNumberFormat="1" applyFont="1" applyFill="1" applyBorder="1" applyAlignment="1">
      <alignment horizontal="center" vertical="center"/>
    </xf>
    <xf numFmtId="0" fontId="3" fillId="8" borderId="9" xfId="1" applyFont="1" applyFill="1" applyBorder="1" applyAlignment="1">
      <alignment horizontal="center" vertical="center"/>
    </xf>
    <xf numFmtId="0" fontId="9" fillId="15" borderId="9" xfId="1" applyFont="1" applyFill="1" applyBorder="1" applyAlignment="1">
      <alignment horizontal="center" vertical="center"/>
    </xf>
    <xf numFmtId="0" fontId="9" fillId="9" borderId="9" xfId="1" applyFont="1" applyFill="1" applyBorder="1" applyAlignment="1">
      <alignment horizontal="center" vertical="center"/>
    </xf>
    <xf numFmtId="0" fontId="9" fillId="14" borderId="9" xfId="1" applyFont="1" applyFill="1" applyBorder="1" applyAlignment="1">
      <alignment horizontal="center" vertical="center"/>
    </xf>
    <xf numFmtId="0" fontId="9" fillId="5" borderId="9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FF00FF"/>
      </a:folHlink>
    </a:clrScheme>
    <a:fontScheme name="WP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WP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reflection stA="50000" endPos="40000" dir="5400000" sy="-100000" algn="bl" rotWithShape="0"/>
          </a:effectLst>
        </a:effectStyle>
        <a:effectStyle>
          <a:effectLst>
            <a:reflection stA="50000" endPos="40000" dir="5400000" sy="-100000" algn="bl" rotWithShape="0"/>
          </a:effectLst>
        </a:effectStyle>
        <a:effectStyle>
          <a:effectLst>
            <a:outerShdw blurRad="101600" dist="50800" dir="5400000" rotWithShape="0">
              <a:schemeClr val="accent3">
                <a:alpha val="60000"/>
              </a:scheme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>
          <a:reflection stA="50000" endPos="40000" dir="5400000" sy="-100000" algn="bl" rotWithShape="0"/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>
          <a:outerShdw blurRad="101600" dist="50800" dir="5400000" rotWithShape="0">
            <a:schemeClr val="accent1">
              <a:alpha val="60000"/>
            </a:scheme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qq.com/sheet/DYXpRaGpEZFBkcktz?tab=vrqqo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200"/>
  <sheetViews>
    <sheetView showGridLines="0" tabSelected="1" zoomScale="137" workbookViewId="0">
      <pane xSplit="1" ySplit="2" topLeftCell="B3" activePane="bottomRight" state="frozen"/>
      <selection pane="topRight"/>
      <selection pane="bottomLeft"/>
      <selection pane="bottomRight" activeCell="AB8" sqref="AB8"/>
    </sheetView>
  </sheetViews>
  <sheetFormatPr baseColWidth="10" defaultColWidth="9" defaultRowHeight="15"/>
  <cols>
    <col min="1" max="1" width="9.1640625" style="40" customWidth="1"/>
    <col min="2" max="2" width="8" style="15" customWidth="1"/>
    <col min="3" max="4" width="4.83203125" style="15" customWidth="1"/>
    <col min="5" max="5" width="6.1640625" style="15" customWidth="1"/>
    <col min="6" max="6" width="4.83203125" style="15" hidden="1" customWidth="1"/>
    <col min="7" max="7" width="8" style="15" customWidth="1"/>
    <col min="8" max="9" width="4.83203125" style="15" customWidth="1"/>
    <col min="10" max="10" width="6.1640625" style="15" customWidth="1"/>
    <col min="11" max="11" width="4.83203125" style="15" hidden="1" customWidth="1"/>
    <col min="12" max="12" width="8" style="15" customWidth="1"/>
    <col min="13" max="14" width="4.83203125" style="15" customWidth="1"/>
    <col min="15" max="15" width="6.1640625" style="15" customWidth="1"/>
    <col min="16" max="16" width="4.83203125" style="15" hidden="1" customWidth="1"/>
    <col min="17" max="24" width="4.83203125" style="15" customWidth="1"/>
    <col min="25" max="25" width="7.33203125" style="15" hidden="1" customWidth="1"/>
    <col min="26" max="27" width="7.33203125" style="15" customWidth="1"/>
    <col min="28" max="29" width="9.1640625" style="15" customWidth="1"/>
    <col min="30" max="39" width="3.6640625" style="16" hidden="1" customWidth="1"/>
  </cols>
  <sheetData>
    <row r="1" spans="1:39" ht="16.5" customHeight="1">
      <c r="A1" s="73" t="s">
        <v>1</v>
      </c>
      <c r="B1" s="14">
        <v>1</v>
      </c>
      <c r="C1" s="58" t="s">
        <v>2</v>
      </c>
      <c r="D1" s="59"/>
      <c r="E1" s="59"/>
      <c r="F1" s="60"/>
      <c r="G1" s="14">
        <v>2</v>
      </c>
      <c r="H1" s="58" t="s">
        <v>2</v>
      </c>
      <c r="I1" s="59"/>
      <c r="J1" s="59"/>
      <c r="K1" s="60"/>
      <c r="L1" s="14">
        <v>3</v>
      </c>
      <c r="M1" s="58" t="s">
        <v>2</v>
      </c>
      <c r="N1" s="59"/>
      <c r="O1" s="59"/>
      <c r="P1" s="60"/>
      <c r="Q1" s="61">
        <v>4</v>
      </c>
      <c r="R1" s="52"/>
      <c r="S1" s="61">
        <v>5</v>
      </c>
      <c r="T1" s="52"/>
      <c r="U1" s="61">
        <v>6</v>
      </c>
      <c r="V1" s="52"/>
      <c r="W1" s="54" t="s">
        <v>3</v>
      </c>
      <c r="X1" s="74" t="s">
        <v>4</v>
      </c>
      <c r="Y1" s="61" t="s">
        <v>5</v>
      </c>
      <c r="Z1" s="61" t="s">
        <v>6</v>
      </c>
      <c r="AA1" s="67" t="s">
        <v>7</v>
      </c>
      <c r="AB1" s="14" t="s">
        <v>8</v>
      </c>
      <c r="AC1" s="14" t="s">
        <v>9</v>
      </c>
      <c r="AD1" s="69" t="s">
        <v>10</v>
      </c>
      <c r="AE1" s="46"/>
      <c r="AF1" s="46"/>
      <c r="AG1" s="46"/>
      <c r="AH1" s="46"/>
      <c r="AI1" s="46"/>
      <c r="AJ1" s="15"/>
      <c r="AK1" s="15"/>
      <c r="AL1" s="15"/>
      <c r="AM1" s="15"/>
    </row>
    <row r="2" spans="1:39" ht="16.5" customHeight="1">
      <c r="A2" s="71"/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11</v>
      </c>
      <c r="H2" s="14" t="s">
        <v>12</v>
      </c>
      <c r="I2" s="14" t="s">
        <v>13</v>
      </c>
      <c r="J2" s="14" t="s">
        <v>14</v>
      </c>
      <c r="K2" s="14" t="s">
        <v>15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0</v>
      </c>
      <c r="R2" s="14" t="s">
        <v>13</v>
      </c>
      <c r="S2" s="14" t="s">
        <v>0</v>
      </c>
      <c r="T2" s="14" t="s">
        <v>13</v>
      </c>
      <c r="U2" s="14" t="s">
        <v>0</v>
      </c>
      <c r="V2" s="14" t="s">
        <v>13</v>
      </c>
      <c r="W2" s="55"/>
      <c r="X2" s="52"/>
      <c r="Y2" s="52"/>
      <c r="Z2" s="52"/>
      <c r="AA2" s="68"/>
      <c r="AB2" s="17"/>
      <c r="AC2" s="18">
        <f>AB2-SUM(AA:AA)</f>
        <v>0</v>
      </c>
      <c r="AD2" s="46"/>
      <c r="AE2" s="46"/>
      <c r="AF2" s="46"/>
      <c r="AG2" s="46"/>
      <c r="AH2" s="46"/>
      <c r="AI2" s="46"/>
      <c r="AJ2" s="15"/>
      <c r="AK2" s="15"/>
      <c r="AL2" s="15"/>
      <c r="AM2" s="15"/>
    </row>
    <row r="3" spans="1:39" ht="16.5" customHeight="1">
      <c r="A3" s="75" t="s">
        <v>16</v>
      </c>
      <c r="B3" s="19"/>
      <c r="C3" s="63"/>
      <c r="D3" s="59"/>
      <c r="E3" s="59"/>
      <c r="F3" s="60"/>
      <c r="G3" s="19"/>
      <c r="H3" s="63"/>
      <c r="I3" s="59"/>
      <c r="J3" s="59"/>
      <c r="K3" s="60"/>
      <c r="L3" s="19"/>
      <c r="M3" s="63"/>
      <c r="N3" s="59"/>
      <c r="O3" s="59"/>
      <c r="P3" s="60"/>
      <c r="Q3" s="76"/>
      <c r="R3" s="52"/>
      <c r="S3" s="76"/>
      <c r="T3" s="52"/>
      <c r="U3" s="76"/>
      <c r="V3" s="52"/>
      <c r="W3" s="56"/>
      <c r="X3" s="56"/>
      <c r="Y3" s="47" t="s">
        <v>17</v>
      </c>
      <c r="Z3" s="47" t="s">
        <v>17</v>
      </c>
      <c r="AA3" s="47" t="s">
        <v>17</v>
      </c>
      <c r="AB3" s="57" t="s">
        <v>18</v>
      </c>
      <c r="AC3" s="51"/>
      <c r="AD3" s="16">
        <f>B3</f>
        <v>0</v>
      </c>
      <c r="AE3" s="16">
        <f>G3</f>
        <v>0</v>
      </c>
      <c r="AF3" s="16">
        <f>L3</f>
        <v>0</v>
      </c>
      <c r="AG3" s="16">
        <f>Q3</f>
        <v>0</v>
      </c>
      <c r="AH3" s="16">
        <f>S3</f>
        <v>0</v>
      </c>
      <c r="AI3" s="16">
        <f>U3</f>
        <v>0</v>
      </c>
      <c r="AK3" s="21"/>
      <c r="AL3" s="21"/>
      <c r="AM3" s="21"/>
    </row>
    <row r="4" spans="1:39" ht="16.5" customHeight="1">
      <c r="A4" s="62"/>
      <c r="B4" s="22" t="s">
        <v>17</v>
      </c>
      <c r="C4" s="19" t="s">
        <v>17</v>
      </c>
      <c r="D4" s="17"/>
      <c r="E4" s="19" t="s">
        <v>17</v>
      </c>
      <c r="F4" s="19" t="s">
        <v>17</v>
      </c>
      <c r="G4" s="22" t="s">
        <v>17</v>
      </c>
      <c r="H4" s="19" t="s">
        <v>17</v>
      </c>
      <c r="I4" s="17"/>
      <c r="J4" s="19" t="s">
        <v>17</v>
      </c>
      <c r="K4" s="19" t="s">
        <v>17</v>
      </c>
      <c r="L4" s="22" t="s">
        <v>17</v>
      </c>
      <c r="M4" s="19" t="s">
        <v>17</v>
      </c>
      <c r="N4" s="17"/>
      <c r="O4" s="19" t="s">
        <v>17</v>
      </c>
      <c r="P4" s="19" t="s">
        <v>17</v>
      </c>
      <c r="Q4" s="19" t="s">
        <v>17</v>
      </c>
      <c r="R4" s="17"/>
      <c r="S4" s="19" t="s">
        <v>17</v>
      </c>
      <c r="T4" s="17"/>
      <c r="U4" s="19" t="s">
        <v>17</v>
      </c>
      <c r="V4" s="17"/>
      <c r="W4" s="51"/>
      <c r="X4" s="62"/>
      <c r="Y4" s="62"/>
      <c r="Z4" s="62"/>
      <c r="AA4" s="62"/>
      <c r="AB4" s="23" t="s">
        <v>19</v>
      </c>
      <c r="AC4" s="24"/>
      <c r="AJ4" s="16">
        <f>IF(AB4="hit数",120,300)</f>
        <v>300</v>
      </c>
      <c r="AK4" s="21"/>
      <c r="AL4" s="21"/>
      <c r="AM4" s="21"/>
    </row>
    <row r="5" spans="1:39" ht="16.5" customHeight="1">
      <c r="A5" s="70">
        <v>1</v>
      </c>
      <c r="B5" s="25"/>
      <c r="C5" s="58"/>
      <c r="D5" s="59"/>
      <c r="E5" s="59"/>
      <c r="F5" s="60"/>
      <c r="G5" s="25"/>
      <c r="H5" s="58"/>
      <c r="I5" s="59"/>
      <c r="J5" s="59"/>
      <c r="K5" s="60"/>
      <c r="L5" s="25"/>
      <c r="M5" s="58"/>
      <c r="N5" s="59"/>
      <c r="O5" s="59"/>
      <c r="P5" s="60"/>
      <c r="Q5" s="47" t="str">
        <f>IF(OR(COUNTIF(AD3:AI3,0)&gt;0,COUNTIF(AD5:AF5,0)&gt;0),"",INDEX(AD3:AI3,MATCH(TRUE,ISNA(MATCH(AD3:AI3,AD5:AF5,0)),0)))</f>
        <v/>
      </c>
      <c r="R5" s="52"/>
      <c r="S5" s="64" t="str">
        <f>IF(OR(COUNTIF(AD3:AI3,0)&gt;0,COUNTIF(AD5:AG5,0)&gt;0),"",INDEX(AD3:AI3,MATCH(TRUE,ISNA(MATCH(AD3:AI3,AD5:AG5,0)),0)))</f>
        <v/>
      </c>
      <c r="T5" s="65"/>
      <c r="U5" s="47" t="str">
        <f>IF(OR(COUNTIF(AD3:AI3,0)&gt;0,COUNTIF(AD5:AH5,0)&gt;0),"",INDEX(AD3:AI3,MATCH(TRUE,ISNA(MATCH(AD3:AI3,AD5:AH5,0)),0)))</f>
        <v/>
      </c>
      <c r="V5" s="52"/>
      <c r="W5" s="50"/>
      <c r="X5" s="50"/>
      <c r="Y5" s="47">
        <f>W3+X3</f>
        <v>0</v>
      </c>
      <c r="Z5" s="47">
        <f>IF(Y5&lt;$AJ$4,Y5,$AJ$4)</f>
        <v>0</v>
      </c>
      <c r="AA5" s="47">
        <f>F6+K6+P6</f>
        <v>0</v>
      </c>
      <c r="AB5" s="24"/>
      <c r="AC5" s="24"/>
      <c r="AD5" s="16">
        <f>B5</f>
        <v>0</v>
      </c>
      <c r="AE5" s="16">
        <f>G5</f>
        <v>0</v>
      </c>
      <c r="AF5" s="16">
        <f>L5</f>
        <v>0</v>
      </c>
      <c r="AG5" s="16" t="str">
        <f>Q5</f>
        <v/>
      </c>
      <c r="AH5" s="16" t="str">
        <f>S5</f>
        <v/>
      </c>
      <c r="AI5" s="16" t="str">
        <f>U5</f>
        <v/>
      </c>
      <c r="AK5" s="21"/>
      <c r="AL5" s="21"/>
      <c r="AM5" s="21"/>
    </row>
    <row r="6" spans="1:39" ht="16.5" customHeight="1">
      <c r="A6" s="71"/>
      <c r="B6" s="26" t="e">
        <f>CHOOSE(MATCH(B5,B3:U3,0),D4,0,0,0,0,I4,0,0,0,0,N4,0,0,0,0,R4,0,T4,0,V4)</f>
        <v>#N/A</v>
      </c>
      <c r="C6" s="17"/>
      <c r="D6" s="17"/>
      <c r="E6" s="20"/>
      <c r="F6" s="27"/>
      <c r="G6" s="26" t="e">
        <f>CHOOSE(MATCH(G5,B3:U3,0),D4,0,0,0,0,I4,0,0,0,0,N4,0,0,0,0,R4,0,T4,0,V4)</f>
        <v>#N/A</v>
      </c>
      <c r="H6" s="17"/>
      <c r="I6" s="17"/>
      <c r="J6" s="20"/>
      <c r="K6" s="27"/>
      <c r="L6" s="26" t="e">
        <f>CHOOSE(MATCH(L5,B3:U3,0),D4,0,0,0,0,I4,0,0,0,0,N4,0,0,0,0,R4,0,T4,0,V4)</f>
        <v>#N/A</v>
      </c>
      <c r="M6" s="17"/>
      <c r="N6" s="17"/>
      <c r="O6" s="20"/>
      <c r="P6" s="27"/>
      <c r="Q6" s="18" t="e">
        <f>CHOOSE(MATCH(Q5,B3:U3,0),D4,0,0,0,0,I4,0,0,0,0,N4,0,0,0,0,R4,0,T4,0,V4)</f>
        <v>#N/A</v>
      </c>
      <c r="R6" s="17"/>
      <c r="S6" s="18" t="e">
        <f>CHOOSE(MATCH(S5,B3:U3,0),D4,0,0,0,0,I4,0,0,0,0,N4,0,0,0,0,R4,0,T4,0,V4)</f>
        <v>#N/A</v>
      </c>
      <c r="T6" s="17"/>
      <c r="U6" s="18" t="e">
        <f>CHOOSE(MATCH(U5,B3:U3,0),D4,0,0,0,0,I4,0,0,0,0,N4,0,0,0,0,R4,0,T4,0,V4)</f>
        <v>#N/A</v>
      </c>
      <c r="V6" s="17"/>
      <c r="W6" s="51"/>
      <c r="X6" s="53"/>
      <c r="Y6" s="52"/>
      <c r="Z6" s="52"/>
      <c r="AA6" s="62"/>
      <c r="AB6" s="24"/>
      <c r="AC6" s="24"/>
      <c r="AK6" s="21"/>
      <c r="AL6" s="21"/>
      <c r="AM6" s="21"/>
    </row>
    <row r="7" spans="1:39" ht="16.5" customHeight="1">
      <c r="A7" s="70"/>
      <c r="B7" s="25"/>
      <c r="C7" s="58"/>
      <c r="D7" s="59"/>
      <c r="E7" s="59"/>
      <c r="F7" s="60"/>
      <c r="G7" s="25"/>
      <c r="H7" s="58"/>
      <c r="I7" s="59"/>
      <c r="J7" s="59"/>
      <c r="K7" s="60"/>
      <c r="L7" s="25"/>
      <c r="M7" s="58"/>
      <c r="N7" s="59"/>
      <c r="O7" s="59"/>
      <c r="P7" s="60"/>
      <c r="Q7" s="47" t="str">
        <f>IF(OR(COUNTIF(AD5:AI5,0)&gt;0,COUNTIF(AD7:AF7,0)&gt;0),"",INDEX(AD5:AI5,MATCH(TRUE,ISNA(MATCH(AD5:AI5,AD7:AF7,0)),0)))</f>
        <v/>
      </c>
      <c r="R7" s="52"/>
      <c r="S7" s="64" t="str">
        <f>IF(OR(COUNTIF(AD5:AI5,0)&gt;0,COUNTIF(AD7:AG7,0)&gt;0),"",INDEX(AD5:AI5,MATCH(TRUE,ISNA(MATCH(AD5:AI5,AD7:AG7,0)),0)))</f>
        <v/>
      </c>
      <c r="T7" s="65"/>
      <c r="U7" s="47" t="str">
        <f>IF(OR(COUNTIF(AD5:AI5,0)&gt;0,COUNTIF(AD7:AH7,0)&gt;0),"",INDEX(AD5:AI5,MATCH(TRUE,ISNA(MATCH(AD5:AI5,AD7:AH7,0)),0)))</f>
        <v/>
      </c>
      <c r="V7" s="52"/>
      <c r="W7" s="50"/>
      <c r="X7" s="50"/>
      <c r="Y7" s="47">
        <f>IF(OR(A5="前置OD1",A5="后置OD1"),AK7,IF(OR(A5="前置OD2",A5="后置OD2"),AL7,IF(OR(A5="前置OD3",A5="后置OD3"),AM7,IF(LEFT(A7,2)="后置",Y5+E6+J6+O6+W5,Y5+E6+J6+O6+W5+X5))))</f>
        <v>0</v>
      </c>
      <c r="Z7" s="47">
        <f>IF(Y7&lt;$AJ$4,Y7,$AJ$4)</f>
        <v>0</v>
      </c>
      <c r="AA7" s="47">
        <f>F8+K8+P8</f>
        <v>0</v>
      </c>
      <c r="AB7" s="24"/>
      <c r="AC7" s="24"/>
      <c r="AD7" s="16">
        <f>B7</f>
        <v>0</v>
      </c>
      <c r="AE7" s="16">
        <f>G7</f>
        <v>0</v>
      </c>
      <c r="AF7" s="16">
        <f>L7</f>
        <v>0</v>
      </c>
      <c r="AG7" s="16" t="str">
        <f>Q7</f>
        <v/>
      </c>
      <c r="AH7" s="16" t="str">
        <f>S7</f>
        <v/>
      </c>
      <c r="AI7" s="16" t="str">
        <f>U7</f>
        <v/>
      </c>
      <c r="AK7" s="45">
        <f>Z5-$AJ$4/3+E6+J6+O6+X5</f>
        <v>-100</v>
      </c>
      <c r="AL7" s="45">
        <f>Z5-$AJ$4/3*2+E6+J6+O6+X5</f>
        <v>-200</v>
      </c>
      <c r="AM7" s="45">
        <f>Z5-$AJ$4+E6+J6+O6+X5</f>
        <v>-300</v>
      </c>
    </row>
    <row r="8" spans="1:39" ht="16.5" customHeight="1">
      <c r="A8" s="72"/>
      <c r="B8" s="26" t="e">
        <f>CHOOSE(MATCH(B7,B5:U5,0),B6-C6+D6,0,0,0,0,G6-H6+I6,0,0,0,0,L6-M6+N6,0,0,0,0,Q6+R6,0,S6+T6,0,U6+V6)</f>
        <v>#N/A</v>
      </c>
      <c r="C8" s="17"/>
      <c r="D8" s="17"/>
      <c r="E8" s="20"/>
      <c r="F8" s="27"/>
      <c r="G8" s="26" t="e">
        <f>CHOOSE(MATCH(G7,B5:U5,0),B6-C6+D6,0,0,0,0,G6-H6+I6,0,0,0,0,L6-M6+N6,0,0,0,0,Q6+R6,0,S6+T6,0,U6+V6)</f>
        <v>#N/A</v>
      </c>
      <c r="H8" s="17"/>
      <c r="I8" s="17"/>
      <c r="J8" s="20"/>
      <c r="K8" s="27"/>
      <c r="L8" s="26" t="e">
        <f>CHOOSE(MATCH(L7,B5:U5,0),B6-C6+D6,0,0,0,0,G6-H6+I6,0,0,0,0,L6-M6+N6,0,0,0,0,Q6+R6,0,S6+T6,0,U6+V6)</f>
        <v>#N/A</v>
      </c>
      <c r="M8" s="17"/>
      <c r="N8" s="17"/>
      <c r="O8" s="20"/>
      <c r="P8" s="27"/>
      <c r="Q8" s="18" t="e">
        <f>CHOOSE(MATCH(Q7,B5:U5,0),B6-C6+D6,0,0,0,0,G6-H6+I6,0,0,0,0,L6-M6+N6,0,0,0,0,Q6+R6,0,S6+T6,0,U6+V6)</f>
        <v>#N/A</v>
      </c>
      <c r="R8" s="17"/>
      <c r="S8" s="18" t="e">
        <f>CHOOSE(MATCH(S7,B5:U5,0),B6-C6+D6,0,0,0,0,G6-H6+I6,0,0,0,0,L6-M6+N6,0,0,0,0,Q6+R6,0,S6+T6,0,U6+V6)</f>
        <v>#N/A</v>
      </c>
      <c r="T8" s="17"/>
      <c r="U8" s="18" t="e">
        <f>CHOOSE(MATCH(U7,B5:U5,0),B6-C6+D6,0,0,0,0,G6-H6+I6,0,0,0,0,L6-M6+N6,0,0,0,0,Q6+R6,0,S6+T6,0,U6+V6)</f>
        <v>#N/A</v>
      </c>
      <c r="V8" s="17"/>
      <c r="W8" s="51"/>
      <c r="X8" s="66"/>
      <c r="Y8" s="49"/>
      <c r="Z8" s="49"/>
      <c r="AA8" s="48"/>
      <c r="AB8" s="24" t="s">
        <v>27</v>
      </c>
      <c r="AC8" s="24"/>
      <c r="AK8" s="46"/>
      <c r="AL8" s="46"/>
      <c r="AM8" s="46"/>
    </row>
    <row r="9" spans="1:39" ht="16.5" customHeight="1">
      <c r="A9" s="70"/>
      <c r="B9" s="25"/>
      <c r="C9" s="58"/>
      <c r="D9" s="59"/>
      <c r="E9" s="59"/>
      <c r="F9" s="60"/>
      <c r="G9" s="25"/>
      <c r="H9" s="58"/>
      <c r="I9" s="59"/>
      <c r="J9" s="59"/>
      <c r="K9" s="60"/>
      <c r="L9" s="25"/>
      <c r="M9" s="58"/>
      <c r="N9" s="59"/>
      <c r="O9" s="59"/>
      <c r="P9" s="60"/>
      <c r="Q9" s="47" t="str">
        <f>IF(OR(COUNTIF(AD7:AI7,0)&gt;0,COUNTIF(AD9:AF9,0)&gt;0),"",INDEX(AD7:AI7,MATCH(TRUE,ISNA(MATCH(AD7:AI7,AD9:AF9,0)),0)))</f>
        <v/>
      </c>
      <c r="R9" s="52"/>
      <c r="S9" s="64" t="str">
        <f>IF(OR(COUNTIF(AD7:AI7,0)&gt;0,COUNTIF(AD9:AG9,0)&gt;0),"",INDEX(AD7:AI7,MATCH(TRUE,ISNA(MATCH(AD7:AI7,AD9:AG9,0)),0)))</f>
        <v/>
      </c>
      <c r="T9" s="65"/>
      <c r="U9" s="47" t="str">
        <f>IF(OR(COUNTIF(AD7:AI7,0)&gt;0,COUNTIF(AD9:AH9,0)&gt;0),"",INDEX(AD7:AI7,MATCH(TRUE,ISNA(MATCH(AD7:AI7,AD9:AH9,0)),0)))</f>
        <v/>
      </c>
      <c r="V9" s="52"/>
      <c r="W9" s="50"/>
      <c r="X9" s="50"/>
      <c r="Y9" s="47">
        <f>IF(OR(A7="前置OD1",A7="后置OD1"),AK9,IF(OR(A7="前置OD2",A7="后置OD2"),AL9,IF(OR(A7="前置OD3",A7="后置OD3"),AM9,IF(LEFT(A9,2)="后置",Y7+E8+J8+O8+W7,Y7+E8+J8+O8+W7+X7))))</f>
        <v>0</v>
      </c>
      <c r="Z9" s="47">
        <f>IF(Y9&lt;$AJ$4,Y9,$AJ$4)</f>
        <v>0</v>
      </c>
      <c r="AA9" s="47">
        <f>F10+K10+P10</f>
        <v>0</v>
      </c>
      <c r="AB9" s="24"/>
      <c r="AC9" s="24"/>
      <c r="AD9" s="16">
        <f>B9</f>
        <v>0</v>
      </c>
      <c r="AE9" s="16">
        <f>G9</f>
        <v>0</v>
      </c>
      <c r="AF9" s="16">
        <f>L9</f>
        <v>0</v>
      </c>
      <c r="AG9" s="16" t="str">
        <f>Q9</f>
        <v/>
      </c>
      <c r="AH9" s="16" t="str">
        <f>S9</f>
        <v/>
      </c>
      <c r="AI9" s="16" t="str">
        <f>U9</f>
        <v/>
      </c>
      <c r="AK9" s="45">
        <f>Z7-$AJ$4/3+E8+J8+O8+X7</f>
        <v>-100</v>
      </c>
      <c r="AL9" s="45">
        <f>Z7-$AJ$4/3*2+E8+J8+O8+X7</f>
        <v>-200</v>
      </c>
      <c r="AM9" s="45">
        <f>Z7-$AJ$4+E8+J8+O8+X7</f>
        <v>-300</v>
      </c>
    </row>
    <row r="10" spans="1:39" ht="16.5" customHeight="1">
      <c r="A10" s="72"/>
      <c r="B10" s="26" t="e">
        <f>CHOOSE(MATCH(B9,B7:U7,0),B8-C8+D8,0,0,0,0,G8-H8+I8,0,0,0,0,L8-M8+N8,0,0,0,0,Q8+R8,0,S8+T8,0,U8+V8)</f>
        <v>#N/A</v>
      </c>
      <c r="C10" s="17"/>
      <c r="D10" s="17"/>
      <c r="E10" s="20"/>
      <c r="F10" s="27"/>
      <c r="G10" s="26" t="e">
        <f>CHOOSE(MATCH(G9,B7:U7,0),B8-C8+D8,0,0,0,0,G8-H8+I8,0,0,0,0,L8-M8+N8,0,0,0,0,Q8+R8,0,S8+T8,0,U8+V8)</f>
        <v>#N/A</v>
      </c>
      <c r="H10" s="17"/>
      <c r="I10" s="17"/>
      <c r="J10" s="20"/>
      <c r="K10" s="27"/>
      <c r="L10" s="26" t="e">
        <f>CHOOSE(MATCH(L9,B7:U7,0),B8-C8+D8,0,0,0,0,G8-H8+I8,0,0,0,0,L8-M8+N8,0,0,0,0,Q8+R8,0,S8+T8,0,U8+V8)</f>
        <v>#N/A</v>
      </c>
      <c r="M10" s="17"/>
      <c r="N10" s="17"/>
      <c r="O10" s="20"/>
      <c r="P10" s="27"/>
      <c r="Q10" s="18" t="e">
        <f>CHOOSE(MATCH(Q9,B7:U7,0),B8-C8+D8,0,0,0,0,G8-H8+I8,0,0,0,0,L8-M8+N8,0,0,0,0,Q8+R8,0,S8+T8,0,U8+V8)</f>
        <v>#N/A</v>
      </c>
      <c r="R10" s="17"/>
      <c r="S10" s="18" t="e">
        <f>CHOOSE(MATCH(S9,B7:U7,0),B8-C8+D8,0,0,0,0,G8-H8+I8,0,0,0,0,L8-M8+N8,0,0,0,0,Q8+R8,0,S8+T8,0,U8+V8)</f>
        <v>#N/A</v>
      </c>
      <c r="T10" s="17"/>
      <c r="U10" s="18" t="e">
        <f>CHOOSE(MATCH(U9,B7:U7,0),B8-C8+D8,0,0,0,0,G8-H8+I8,0,0,0,0,L8-M8+N8,0,0,0,0,Q8+R8,0,S8+T8,0,U8+V8)</f>
        <v>#N/A</v>
      </c>
      <c r="V10" s="17"/>
      <c r="W10" s="51"/>
      <c r="X10" s="53"/>
      <c r="Y10" s="47"/>
      <c r="Z10" s="49"/>
      <c r="AA10" s="48"/>
      <c r="AB10" s="24"/>
      <c r="AC10" s="24"/>
      <c r="AK10" s="46"/>
      <c r="AL10" s="46"/>
      <c r="AM10" s="46"/>
    </row>
    <row r="11" spans="1:39" ht="16.5" customHeight="1">
      <c r="A11" s="70"/>
      <c r="B11" s="25"/>
      <c r="C11" s="58"/>
      <c r="D11" s="59"/>
      <c r="E11" s="59"/>
      <c r="F11" s="60"/>
      <c r="G11" s="25"/>
      <c r="H11" s="58"/>
      <c r="I11" s="59"/>
      <c r="J11" s="59"/>
      <c r="K11" s="60"/>
      <c r="L11" s="25"/>
      <c r="M11" s="58"/>
      <c r="N11" s="59"/>
      <c r="O11" s="59"/>
      <c r="P11" s="60"/>
      <c r="Q11" s="47" t="str">
        <f>IF(OR(COUNTIF(AD9:AI9,0)&gt;0,COUNTIF(AD11:AF11,0)&gt;0),"",INDEX(AD9:AI9,MATCH(TRUE,ISNA(MATCH(AD9:AI9,AD11:AF11,0)),0)))</f>
        <v/>
      </c>
      <c r="R11" s="52"/>
      <c r="S11" s="64" t="str">
        <f>IF(OR(COUNTIF(AD9:AI9,0)&gt;0,COUNTIF(AD11:AG11,0)&gt;0),"",INDEX(AD9:AI9,MATCH(TRUE,ISNA(MATCH(AD9:AI9,AD11:AG11,0)),0)))</f>
        <v/>
      </c>
      <c r="T11" s="65"/>
      <c r="U11" s="47" t="str">
        <f>IF(OR(COUNTIF(AD9:AI9,0)&gt;0,COUNTIF(AD11:AH11,0)&gt;0),"",INDEX(AD9:AI9,MATCH(TRUE,ISNA(MATCH(AD9:AI9,AD11:AH11,0)),0)))</f>
        <v/>
      </c>
      <c r="V11" s="52"/>
      <c r="W11" s="50"/>
      <c r="X11" s="50"/>
      <c r="Y11" s="47">
        <f>IF(OR(A9="前置OD1",A9="后置OD1"),AK11,IF(OR(A9="前置OD2",A9="后置OD2"),AL11,IF(OR(A9="前置OD3",A9="后置OD3"),AM11,IF(LEFT(A11,2)="后置",Y9+E10+J10+O10+W9,Y9+E10+J10+O10+W9+X9))))</f>
        <v>0</v>
      </c>
      <c r="Z11" s="47">
        <f>IF(Y11&lt;$AJ$4,Y11,$AJ$4)</f>
        <v>0</v>
      </c>
      <c r="AA11" s="47">
        <f>F12+K12+P12</f>
        <v>0</v>
      </c>
      <c r="AB11" s="24"/>
      <c r="AC11" s="24"/>
      <c r="AD11" s="16">
        <f>B11</f>
        <v>0</v>
      </c>
      <c r="AE11" s="16">
        <f>G11</f>
        <v>0</v>
      </c>
      <c r="AF11" s="16">
        <f>L11</f>
        <v>0</v>
      </c>
      <c r="AG11" s="16" t="str">
        <f>Q11</f>
        <v/>
      </c>
      <c r="AH11" s="16" t="str">
        <f>S11</f>
        <v/>
      </c>
      <c r="AI11" s="16" t="str">
        <f>U11</f>
        <v/>
      </c>
      <c r="AK11" s="45">
        <f>Z9-$AJ$4/3+E10+J10+O10+X9</f>
        <v>-100</v>
      </c>
      <c r="AL11" s="45">
        <f>Z9-$AJ$4/3*2+E10+J10+O10+X9</f>
        <v>-200</v>
      </c>
      <c r="AM11" s="45">
        <f>Z9-$AJ$4+E10+J10+O10+X9</f>
        <v>-300</v>
      </c>
    </row>
    <row r="12" spans="1:39" ht="16.5" customHeight="1">
      <c r="A12" s="72"/>
      <c r="B12" s="26" t="e">
        <f>CHOOSE(MATCH(B11,B9:U9,0),B10-C10+D10,0,0,0,0,G10-H10+I10,0,0,0,0,L10-M10+N10,0,0,0,0,Q10+R10,0,S10+T10,0,U10+V10)</f>
        <v>#N/A</v>
      </c>
      <c r="C12" s="17"/>
      <c r="D12" s="17"/>
      <c r="E12" s="20"/>
      <c r="F12" s="27"/>
      <c r="G12" s="26" t="e">
        <f>CHOOSE(MATCH(G11,B9:U9,0),B10-C10+D10,0,0,0,0,G10-H10+I10,0,0,0,0,L10-M10+N10,0,0,0,0,Q10+R10,0,S10+T10,0,U10+V10)</f>
        <v>#N/A</v>
      </c>
      <c r="H12" s="17"/>
      <c r="I12" s="17"/>
      <c r="J12" s="20"/>
      <c r="K12" s="27"/>
      <c r="L12" s="26" t="e">
        <f>CHOOSE(MATCH(L11,B9:U9,0),B10-C10+D10,0,0,0,0,G10-H10+I10,0,0,0,0,L10-M10+N10,0,0,0,0,Q10+R10,0,S10+T10,0,U10+V10)</f>
        <v>#N/A</v>
      </c>
      <c r="M12" s="17"/>
      <c r="N12" s="17"/>
      <c r="O12" s="20"/>
      <c r="P12" s="27"/>
      <c r="Q12" s="18" t="e">
        <f>CHOOSE(MATCH(Q11,B9:U9,0),B10-C10+D10,0,0,0,0,G10-H10+I10,0,0,0,0,L10-M10+N10,0,0,0,0,Q10+R10,0,S10+T10,0,U10+V10)</f>
        <v>#N/A</v>
      </c>
      <c r="R12" s="17"/>
      <c r="S12" s="18" t="e">
        <f>CHOOSE(MATCH(S11,B9:U9,0),B10-C10+D10,0,0,0,0,G10-H10+I10,0,0,0,0,L10-M10+N10,0,0,0,0,Q10+R10,0,S10+T10,0,U10+V10)</f>
        <v>#N/A</v>
      </c>
      <c r="T12" s="17"/>
      <c r="U12" s="18" t="e">
        <f>CHOOSE(MATCH(U11,B9:U9,0),B10-C10+D10,0,0,0,0,G10-H10+I10,0,0,0,0,L10-M10+N10,0,0,0,0,Q10+R10,0,S10+T10,0,U10+V10)</f>
        <v>#N/A</v>
      </c>
      <c r="V12" s="17"/>
      <c r="W12" s="51"/>
      <c r="X12" s="66"/>
      <c r="Y12" s="47"/>
      <c r="Z12" s="49"/>
      <c r="AA12" s="48"/>
      <c r="AB12" s="24"/>
      <c r="AC12" s="24"/>
      <c r="AK12" s="46"/>
      <c r="AL12" s="46"/>
      <c r="AM12" s="46"/>
    </row>
    <row r="13" spans="1:39" ht="16.5" customHeight="1">
      <c r="A13" s="70"/>
      <c r="B13" s="25"/>
      <c r="C13" s="58"/>
      <c r="D13" s="59"/>
      <c r="E13" s="59"/>
      <c r="F13" s="60"/>
      <c r="G13" s="25"/>
      <c r="H13" s="58"/>
      <c r="I13" s="59"/>
      <c r="J13" s="59"/>
      <c r="K13" s="60"/>
      <c r="L13" s="25"/>
      <c r="M13" s="58"/>
      <c r="N13" s="59"/>
      <c r="O13" s="59"/>
      <c r="P13" s="60"/>
      <c r="Q13" s="47" t="str">
        <f>IF(OR(COUNTIF(AD11:AI11,0)&gt;0,COUNTIF(AD13:AF13,0)&gt;0),"",INDEX(AD11:AI11,MATCH(TRUE,ISNA(MATCH(AD11:AI11,AD13:AF13,0)),0)))</f>
        <v/>
      </c>
      <c r="R13" s="52"/>
      <c r="S13" s="64" t="str">
        <f>IF(OR(COUNTIF(AD11:AI11,0)&gt;0,COUNTIF(AD13:AG13,0)&gt;0),"",INDEX(AD11:AI11,MATCH(TRUE,ISNA(MATCH(AD11:AI11,AD13:AG13,0)),0)))</f>
        <v/>
      </c>
      <c r="T13" s="65"/>
      <c r="U13" s="47" t="str">
        <f>IF(OR(COUNTIF(AD11:AI11,0)&gt;0,COUNTIF(AD13:AH13,0)&gt;0),"",INDEX(AD11:AI11,MATCH(TRUE,ISNA(MATCH(AD11:AI11,AD13:AH13,0)),0)))</f>
        <v/>
      </c>
      <c r="V13" s="52"/>
      <c r="W13" s="50"/>
      <c r="X13" s="50"/>
      <c r="Y13" s="47">
        <f>IF(OR(A11="前置OD1",A11="后置OD1"),AK13,IF(OR(A11="前置OD2",A11="后置OD2"),AL13,IF(OR(A11="前置OD3",A11="后置OD3"),AM13,IF(LEFT(A13,2)="后置",Y11+E12+J12+O12+W11,Y11+E12+J12+O12+W11+X11))))</f>
        <v>0</v>
      </c>
      <c r="Z13" s="47">
        <f>IF(Y13&lt;$AJ$4,Y13,$AJ$4)</f>
        <v>0</v>
      </c>
      <c r="AA13" s="47">
        <f>F14+K14+P14</f>
        <v>0</v>
      </c>
      <c r="AB13" s="24"/>
      <c r="AC13" s="24"/>
      <c r="AD13" s="16">
        <f>B13</f>
        <v>0</v>
      </c>
      <c r="AE13" s="16">
        <f>G13</f>
        <v>0</v>
      </c>
      <c r="AF13" s="16">
        <f>L13</f>
        <v>0</v>
      </c>
      <c r="AG13" s="16" t="str">
        <f>Q13</f>
        <v/>
      </c>
      <c r="AH13" s="16" t="str">
        <f>S13</f>
        <v/>
      </c>
      <c r="AI13" s="16" t="str">
        <f>U13</f>
        <v/>
      </c>
      <c r="AK13" s="45">
        <f>Z11-$AJ$4/3+E12+J12+O12+X11</f>
        <v>-100</v>
      </c>
      <c r="AL13" s="45">
        <f>Z11-$AJ$4/3*2+E12+J12+O12+X11</f>
        <v>-200</v>
      </c>
      <c r="AM13" s="45">
        <f>Z11-$AJ$4+E12+J12+O12+X11</f>
        <v>-300</v>
      </c>
    </row>
    <row r="14" spans="1:39" ht="16.5" customHeight="1">
      <c r="A14" s="72"/>
      <c r="B14" s="26" t="e">
        <f>CHOOSE(MATCH(B13,B11:U11,0),B12-C12+D12,0,0,0,0,G12-H12+I12,0,0,0,0,L12-M12+N12,0,0,0,0,Q12+R12,0,S12+T12,0,U12+V12)</f>
        <v>#N/A</v>
      </c>
      <c r="C14" s="17"/>
      <c r="D14" s="17"/>
      <c r="E14" s="20"/>
      <c r="F14" s="27"/>
      <c r="G14" s="26" t="e">
        <f>CHOOSE(MATCH(G13,B11:U11,0),B12-C12+D12,0,0,0,0,G12-H12+I12,0,0,0,0,L12-M12+N12,0,0,0,0,Q12+R12,0,S12+T12,0,U12+V12)</f>
        <v>#N/A</v>
      </c>
      <c r="H14" s="17"/>
      <c r="I14" s="17"/>
      <c r="J14" s="20"/>
      <c r="K14" s="27"/>
      <c r="L14" s="26" t="e">
        <f>CHOOSE(MATCH(L13,B11:U11,0),B12-C12+D12,0,0,0,0,G12-H12+I12,0,0,0,0,L12-M12+N12,0,0,0,0,Q12+R12,0,S12+T12,0,U12+V12)</f>
        <v>#N/A</v>
      </c>
      <c r="M14" s="17"/>
      <c r="N14" s="17"/>
      <c r="O14" s="20"/>
      <c r="P14" s="27"/>
      <c r="Q14" s="18" t="e">
        <f>CHOOSE(MATCH(Q13,B11:U11,0),B12-C12+D12,0,0,0,0,G12-H12+I12,0,0,0,0,L12-M12+N12,0,0,0,0,Q12+R12,0,S12+T12,0,U12+V12)</f>
        <v>#N/A</v>
      </c>
      <c r="R14" s="17"/>
      <c r="S14" s="18" t="e">
        <f>CHOOSE(MATCH(S13,B11:U11,0),B12-C12+D12,0,0,0,0,G12-H12+I12,0,0,0,0,L12-M12+N12,0,0,0,0,Q12+R12,0,S12+T12,0,U12+V12)</f>
        <v>#N/A</v>
      </c>
      <c r="T14" s="17"/>
      <c r="U14" s="18" t="e">
        <f>CHOOSE(MATCH(U13,B11:U11,0),B12-C12+D12,0,0,0,0,G12-H12+I12,0,0,0,0,L12-M12+N12,0,0,0,0,Q12+R12,0,S12+T12,0,U12+V12)</f>
        <v>#N/A</v>
      </c>
      <c r="V14" s="17"/>
      <c r="W14" s="51"/>
      <c r="X14" s="53"/>
      <c r="Y14" s="47"/>
      <c r="Z14" s="49"/>
      <c r="AA14" s="48"/>
      <c r="AB14" s="24"/>
      <c r="AC14" s="24"/>
      <c r="AK14" s="46"/>
      <c r="AL14" s="46"/>
      <c r="AM14" s="46"/>
    </row>
    <row r="15" spans="1:39" ht="16.5" customHeight="1">
      <c r="A15" s="70"/>
      <c r="B15" s="25"/>
      <c r="C15" s="58"/>
      <c r="D15" s="59"/>
      <c r="E15" s="59"/>
      <c r="F15" s="60"/>
      <c r="G15" s="25"/>
      <c r="H15" s="58"/>
      <c r="I15" s="59"/>
      <c r="J15" s="59"/>
      <c r="K15" s="60"/>
      <c r="L15" s="25"/>
      <c r="M15" s="58"/>
      <c r="N15" s="59"/>
      <c r="O15" s="59"/>
      <c r="P15" s="60"/>
      <c r="Q15" s="47" t="str">
        <f>IF(OR(COUNTIF(AD13:AI13,0)&gt;0,COUNTIF(AD15:AF15,0)&gt;0),"",INDEX(AD13:AI13,MATCH(TRUE,ISNA(MATCH(AD13:AI13,AD15:AF15,0)),0)))</f>
        <v/>
      </c>
      <c r="R15" s="52"/>
      <c r="S15" s="64" t="str">
        <f>IF(OR(COUNTIF(AD13:AI13,0)&gt;0,COUNTIF(AD15:AG15,0)&gt;0),"",INDEX(AD13:AI13,MATCH(TRUE,ISNA(MATCH(AD13:AI13,AD15:AG15,0)),0)))</f>
        <v/>
      </c>
      <c r="T15" s="65"/>
      <c r="U15" s="47" t="str">
        <f>IF(OR(COUNTIF(AD13:AI13,0)&gt;0,COUNTIF(AD15:AH15,0)&gt;0),"",INDEX(AD13:AI13,MATCH(TRUE,ISNA(MATCH(AD13:AI13,AD15:AH15,0)),0)))</f>
        <v/>
      </c>
      <c r="V15" s="52"/>
      <c r="W15" s="50"/>
      <c r="X15" s="50"/>
      <c r="Y15" s="47">
        <f>IF(OR(A13="前置OD1",A13="后置OD1"),AK15,IF(OR(A13="前置OD2",A13="后置OD2"),AL15,IF(OR(A13="前置OD3",A13="后置OD3"),AM15,IF(LEFT(A15,2)="后置",Y13+E14+J14+O14+W13,Y13+E14+J14+O14+W13+X13))))</f>
        <v>0</v>
      </c>
      <c r="Z15" s="47">
        <f>IF(Y15&lt;$AJ$4,Y15,$AJ$4)</f>
        <v>0</v>
      </c>
      <c r="AA15" s="47">
        <f>F16+K16+P16</f>
        <v>0</v>
      </c>
      <c r="AB15" s="24"/>
      <c r="AC15" s="24"/>
      <c r="AD15" s="16">
        <f>B15</f>
        <v>0</v>
      </c>
      <c r="AE15" s="16">
        <f>G15</f>
        <v>0</v>
      </c>
      <c r="AF15" s="16">
        <f>L15</f>
        <v>0</v>
      </c>
      <c r="AG15" s="16" t="str">
        <f>Q15</f>
        <v/>
      </c>
      <c r="AH15" s="16" t="str">
        <f>S15</f>
        <v/>
      </c>
      <c r="AI15" s="16" t="str">
        <f>U15</f>
        <v/>
      </c>
      <c r="AK15" s="45">
        <f>Z13-$AJ$4/3+E14+J14+O14+X13</f>
        <v>-100</v>
      </c>
      <c r="AL15" s="45">
        <f>Z13-$AJ$4/3*2+E14+J14+O14+X13</f>
        <v>-200</v>
      </c>
      <c r="AM15" s="45">
        <f>Z13-$AJ$4+E14+J14+O14+X13</f>
        <v>-300</v>
      </c>
    </row>
    <row r="16" spans="1:39" ht="16.5" customHeight="1">
      <c r="A16" s="72"/>
      <c r="B16" s="26" t="e">
        <f>CHOOSE(MATCH(B15,B13:U13,0),B14-C14+D14,0,0,0,0,G14-H14+I14,0,0,0,0,L14-M14+N14,0,0,0,0,Q14+R14,0,S14+T14,0,U14+V14)</f>
        <v>#N/A</v>
      </c>
      <c r="C16" s="17"/>
      <c r="D16" s="17"/>
      <c r="E16" s="20"/>
      <c r="F16" s="27"/>
      <c r="G16" s="26" t="e">
        <f>CHOOSE(MATCH(G15,B13:U13,0),B14-C14+D14,0,0,0,0,G14-H14+I14,0,0,0,0,L14-M14+N14,0,0,0,0,Q14+R14,0,S14+T14,0,U14+V14)</f>
        <v>#N/A</v>
      </c>
      <c r="H16" s="17"/>
      <c r="I16" s="17"/>
      <c r="J16" s="20"/>
      <c r="K16" s="27"/>
      <c r="L16" s="26" t="e">
        <f>CHOOSE(MATCH(L15,B13:U13,0),B14-C14+D14,0,0,0,0,G14-H14+I14,0,0,0,0,L14-M14+N14,0,0,0,0,Q14+R14,0,S14+T14,0,U14+V14)</f>
        <v>#N/A</v>
      </c>
      <c r="M16" s="17"/>
      <c r="N16" s="17"/>
      <c r="O16" s="20"/>
      <c r="P16" s="27"/>
      <c r="Q16" s="18" t="e">
        <f>CHOOSE(MATCH(Q15,B13:U13,0),B14-C14+D14,0,0,0,0,G14-H14+I14,0,0,0,0,L14-M14+N14,0,0,0,0,Q14+R14,0,S14+T14,0,U14+V14)</f>
        <v>#N/A</v>
      </c>
      <c r="R16" s="17"/>
      <c r="S16" s="18" t="e">
        <f>CHOOSE(MATCH(S15,B13:U13,0),B14-C14+D14,0,0,0,0,G14-H14+I14,0,0,0,0,L14-M14+N14,0,0,0,0,Q14+R14,0,S14+T14,0,U14+V14)</f>
        <v>#N/A</v>
      </c>
      <c r="T16" s="17"/>
      <c r="U16" s="18" t="e">
        <f>CHOOSE(MATCH(U15,B13:U13,0),B14-C14+D14,0,0,0,0,G14-H14+I14,0,0,0,0,L14-M14+N14,0,0,0,0,Q14+R14,0,S14+T14,0,U14+V14)</f>
        <v>#N/A</v>
      </c>
      <c r="V16" s="17"/>
      <c r="W16" s="51"/>
      <c r="X16" s="66"/>
      <c r="Y16" s="47"/>
      <c r="Z16" s="49"/>
      <c r="AA16" s="48"/>
      <c r="AB16" s="24"/>
      <c r="AC16" s="24"/>
      <c r="AK16" s="46"/>
      <c r="AL16" s="46"/>
      <c r="AM16" s="46"/>
    </row>
    <row r="17" spans="1:39" ht="16.5" customHeight="1">
      <c r="A17" s="70">
        <v>7</v>
      </c>
      <c r="B17" s="25"/>
      <c r="C17" s="58"/>
      <c r="D17" s="59"/>
      <c r="E17" s="59"/>
      <c r="F17" s="60"/>
      <c r="G17" s="25"/>
      <c r="H17" s="58"/>
      <c r="I17" s="59"/>
      <c r="J17" s="59"/>
      <c r="K17" s="60"/>
      <c r="L17" s="25"/>
      <c r="M17" s="58"/>
      <c r="N17" s="59"/>
      <c r="O17" s="59"/>
      <c r="P17" s="60"/>
      <c r="Q17" s="47" t="str">
        <f>IF(OR(COUNTIF(AD15:AI15,0)&gt;0,COUNTIF(AD17:AF17,0)&gt;0),"",INDEX(AD15:AI15,MATCH(TRUE,ISNA(MATCH(AD15:AI15,AD17:AF17,0)),0)))</f>
        <v/>
      </c>
      <c r="R17" s="52"/>
      <c r="S17" s="64" t="str">
        <f>IF(OR(COUNTIF(AD15:AI15,0)&gt;0,COUNTIF(AD17:AG17,0)&gt;0),"",INDEX(AD15:AI15,MATCH(TRUE,ISNA(MATCH(AD15:AI15,AD17:AG17,0)),0)))</f>
        <v/>
      </c>
      <c r="T17" s="65"/>
      <c r="U17" s="47" t="str">
        <f>IF(OR(COUNTIF(AD15:AI15,0)&gt;0,COUNTIF(AD17:AH17,0)&gt;0),"",INDEX(AD15:AI15,MATCH(TRUE,ISNA(MATCH(AD15:AI15,AD17:AH17,0)),0)))</f>
        <v/>
      </c>
      <c r="V17" s="52"/>
      <c r="W17" s="50"/>
      <c r="X17" s="50"/>
      <c r="Y17" s="47">
        <f>IF(OR(A15="前置OD1",A15="后置OD1"),AK17,IF(OR(A15="前置OD2",A15="后置OD2"),AL17,IF(OR(A15="前置OD3",A15="后置OD3"),AM17,IF(LEFT(A17,2)="后置",Y15+E16+J16+O16+W15,Y15+E16+J16+O16+W15+X15))))</f>
        <v>0</v>
      </c>
      <c r="Z17" s="47">
        <f>IF(Y17&lt;$AJ$4,Y17,$AJ$4)</f>
        <v>0</v>
      </c>
      <c r="AA17" s="47">
        <f>F18+K18+P18</f>
        <v>0</v>
      </c>
      <c r="AB17" s="24"/>
      <c r="AC17" s="24"/>
      <c r="AD17" s="16">
        <f>B17</f>
        <v>0</v>
      </c>
      <c r="AE17" s="16">
        <f>G17</f>
        <v>0</v>
      </c>
      <c r="AF17" s="16">
        <f>L17</f>
        <v>0</v>
      </c>
      <c r="AG17" s="16" t="str">
        <f>Q17</f>
        <v/>
      </c>
      <c r="AH17" s="16" t="str">
        <f>S17</f>
        <v/>
      </c>
      <c r="AI17" s="16" t="str">
        <f>U17</f>
        <v/>
      </c>
      <c r="AK17" s="45">
        <f>Z15-$AJ$4/3+E16+J16+O16+X15</f>
        <v>-100</v>
      </c>
      <c r="AL17" s="45">
        <f>Z15-$AJ$4/3*2+E16+J16+O16+X15</f>
        <v>-200</v>
      </c>
      <c r="AM17" s="45">
        <f>Z15-$AJ$4+E16+J16+O16+X15</f>
        <v>-300</v>
      </c>
    </row>
    <row r="18" spans="1:39" ht="16.5" customHeight="1">
      <c r="A18" s="72"/>
      <c r="B18" s="26" t="e">
        <f>CHOOSE(MATCH(B17,B15:U15,0),B16-C16+D16,0,0,0,0,G16-H16+I16,0,0,0,0,L16-M16+N16,0,0,0,0,Q16+R16,0,S16+T16,0,U16+V16)</f>
        <v>#N/A</v>
      </c>
      <c r="C18" s="17"/>
      <c r="D18" s="17"/>
      <c r="E18" s="20"/>
      <c r="F18" s="27"/>
      <c r="G18" s="26" t="e">
        <f>CHOOSE(MATCH(G17,B15:U15,0),B16-C16+D16,0,0,0,0,G16-H16+I16,0,0,0,0,L16-M16+N16,0,0,0,0,Q16+R16,0,S16+T16,0,U16+V16)</f>
        <v>#N/A</v>
      </c>
      <c r="H18" s="17"/>
      <c r="I18" s="17"/>
      <c r="J18" s="20"/>
      <c r="K18" s="27"/>
      <c r="L18" s="26" t="e">
        <f>CHOOSE(MATCH(L17,B15:U15,0),B16-C16+D16,0,0,0,0,G16-H16+I16,0,0,0,0,L16-M16+N16,0,0,0,0,Q16+R16,0,S16+T16,0,U16+V16)</f>
        <v>#N/A</v>
      </c>
      <c r="M18" s="17"/>
      <c r="N18" s="17"/>
      <c r="O18" s="20"/>
      <c r="P18" s="27"/>
      <c r="Q18" s="18" t="e">
        <f>CHOOSE(MATCH(Q17,B15:U15,0),B16-C16+D16,0,0,0,0,G16-H16+I16,0,0,0,0,L16-M16+N16,0,0,0,0,Q16+R16,0,S16+T16,0,U16+V16)</f>
        <v>#N/A</v>
      </c>
      <c r="R18" s="17"/>
      <c r="S18" s="18" t="e">
        <f>CHOOSE(MATCH(S17,B15:U15,0),B16-C16+D16,0,0,0,0,G16-H16+I16,0,0,0,0,L16-M16+N16,0,0,0,0,Q16+R16,0,S16+T16,0,U16+V16)</f>
        <v>#N/A</v>
      </c>
      <c r="T18" s="17"/>
      <c r="U18" s="18" t="e">
        <f>CHOOSE(MATCH(U17,B15:U15,0),B16-C16+D16,0,0,0,0,G16-H16+I16,0,0,0,0,L16-M16+N16,0,0,0,0,Q16+R16,0,S16+T16,0,U16+V16)</f>
        <v>#N/A</v>
      </c>
      <c r="V18" s="17"/>
      <c r="W18" s="51"/>
      <c r="X18" s="53"/>
      <c r="Y18" s="47"/>
      <c r="Z18" s="49"/>
      <c r="AA18" s="48"/>
      <c r="AB18" s="24"/>
      <c r="AC18" s="24"/>
      <c r="AK18" s="46"/>
      <c r="AL18" s="46"/>
      <c r="AM18" s="46"/>
    </row>
    <row r="19" spans="1:39" ht="16.5" customHeight="1">
      <c r="A19" s="70">
        <v>8</v>
      </c>
      <c r="B19" s="25"/>
      <c r="C19" s="58"/>
      <c r="D19" s="59"/>
      <c r="E19" s="59"/>
      <c r="F19" s="60"/>
      <c r="G19" s="25"/>
      <c r="H19" s="58"/>
      <c r="I19" s="59"/>
      <c r="J19" s="59"/>
      <c r="K19" s="60"/>
      <c r="L19" s="25"/>
      <c r="M19" s="58"/>
      <c r="N19" s="59"/>
      <c r="O19" s="59"/>
      <c r="P19" s="60"/>
      <c r="Q19" s="47" t="str">
        <f>IF(OR(COUNTIF(AD17:AI17,0)&gt;0,COUNTIF(AD19:AF19,0)&gt;0),"",INDEX(AD17:AI17,MATCH(TRUE,ISNA(MATCH(AD17:AI17,AD19:AF19,0)),0)))</f>
        <v/>
      </c>
      <c r="R19" s="52"/>
      <c r="S19" s="64" t="str">
        <f>IF(OR(COUNTIF(AD17:AI17,0)&gt;0,COUNTIF(AD19:AG19,0)&gt;0),"",INDEX(AD17:AI17,MATCH(TRUE,ISNA(MATCH(AD17:AI17,AD19:AG19,0)),0)))</f>
        <v/>
      </c>
      <c r="T19" s="65"/>
      <c r="U19" s="47" t="str">
        <f>IF(OR(COUNTIF(AD17:AI17,0)&gt;0,COUNTIF(AD19:AH19,0)&gt;0),"",INDEX(AD17:AI17,MATCH(TRUE,ISNA(MATCH(AD17:AI17,AD19:AH19,0)),0)))</f>
        <v/>
      </c>
      <c r="V19" s="52"/>
      <c r="W19" s="50"/>
      <c r="X19" s="50"/>
      <c r="Y19" s="47">
        <f>IF(OR(A17="前置OD1",A17="后置OD1"),AK19,IF(OR(A17="前置OD2",A17="后置OD2"),AL19,IF(OR(A17="前置OD3",A17="后置OD3"),AM19,IF(LEFT(A19,2)="后置",Y17+E18+J18+O18+W17,Y17+E18+J18+O18+W17+X17))))</f>
        <v>0</v>
      </c>
      <c r="Z19" s="47">
        <f>IF(Y19&lt;$AJ$4,Y19,$AJ$4)</f>
        <v>0</v>
      </c>
      <c r="AA19" s="47">
        <f>F20+K20+P20</f>
        <v>0</v>
      </c>
      <c r="AB19" s="24"/>
      <c r="AC19" s="24"/>
      <c r="AD19" s="16">
        <f>B19</f>
        <v>0</v>
      </c>
      <c r="AE19" s="16">
        <f>G19</f>
        <v>0</v>
      </c>
      <c r="AF19" s="16">
        <f>L19</f>
        <v>0</v>
      </c>
      <c r="AG19" s="16" t="str">
        <f>Q19</f>
        <v/>
      </c>
      <c r="AH19" s="16" t="str">
        <f>S19</f>
        <v/>
      </c>
      <c r="AI19" s="16" t="str">
        <f>U19</f>
        <v/>
      </c>
      <c r="AK19" s="45">
        <f>Z17-$AJ$4/3+E18+J18+O18+X17</f>
        <v>-100</v>
      </c>
      <c r="AL19" s="45">
        <f>Z17-$AJ$4/3*2+E18+J18+O18+X17</f>
        <v>-200</v>
      </c>
      <c r="AM19" s="45">
        <f>Z17-$AJ$4+E18+J18+O18+X17</f>
        <v>-300</v>
      </c>
    </row>
    <row r="20" spans="1:39" ht="16.5" customHeight="1">
      <c r="A20" s="72"/>
      <c r="B20" s="26" t="e">
        <f>CHOOSE(MATCH(B19,B17:U17,0),B18-C18+D18,0,0,0,0,G18-H18+I18,0,0,0,0,L18-M18+N18,0,0,0,0,Q18+R18,0,S18+T18,0,U18+V18)</f>
        <v>#N/A</v>
      </c>
      <c r="C20" s="17"/>
      <c r="D20" s="17"/>
      <c r="E20" s="20"/>
      <c r="F20" s="27"/>
      <c r="G20" s="26" t="e">
        <f>CHOOSE(MATCH(G19,B17:U17,0),B18-C18+D18,0,0,0,0,G18-H18+I18,0,0,0,0,L18-M18+N18,0,0,0,0,Q18+R18,0,S18+T18,0,U18+V18)</f>
        <v>#N/A</v>
      </c>
      <c r="H20" s="17"/>
      <c r="I20" s="17"/>
      <c r="J20" s="20"/>
      <c r="K20" s="27"/>
      <c r="L20" s="26" t="e">
        <f>CHOOSE(MATCH(L19,B17:U17,0),B18-C18+D18,0,0,0,0,G18-H18+I18,0,0,0,0,L18-M18+N18,0,0,0,0,Q18+R18,0,S18+T18,0,U18+V18)</f>
        <v>#N/A</v>
      </c>
      <c r="M20" s="17"/>
      <c r="N20" s="17"/>
      <c r="O20" s="20"/>
      <c r="P20" s="27"/>
      <c r="Q20" s="18" t="e">
        <f>CHOOSE(MATCH(Q19,B17:U17,0),B18-C18+D18,0,0,0,0,G18-H18+I18,0,0,0,0,L18-M18+N18,0,0,0,0,Q18+R18,0,S18+T18,0,U18+V18)</f>
        <v>#N/A</v>
      </c>
      <c r="R20" s="17"/>
      <c r="S20" s="18" t="e">
        <f>CHOOSE(MATCH(S19,B17:U17,0),B18-C18+D18,0,0,0,0,G18-H18+I18,0,0,0,0,L18-M18+N18,0,0,0,0,Q18+R18,0,S18+T18,0,U18+V18)</f>
        <v>#N/A</v>
      </c>
      <c r="T20" s="17"/>
      <c r="U20" s="18" t="e">
        <f>CHOOSE(MATCH(U19,B17:U17,0),B18-C18+D18,0,0,0,0,G18-H18+I18,0,0,0,0,L18-M18+N18,0,0,0,0,Q18+R18,0,S18+T18,0,U18+V18)</f>
        <v>#N/A</v>
      </c>
      <c r="V20" s="17"/>
      <c r="W20" s="51"/>
      <c r="X20" s="66"/>
      <c r="Y20" s="47"/>
      <c r="Z20" s="49"/>
      <c r="AA20" s="48"/>
      <c r="AB20" s="24"/>
      <c r="AC20" s="24"/>
      <c r="AK20" s="46"/>
      <c r="AL20" s="46"/>
      <c r="AM20" s="46"/>
    </row>
    <row r="21" spans="1:39" ht="16.5" customHeight="1">
      <c r="A21" s="70">
        <v>9</v>
      </c>
      <c r="B21" s="25"/>
      <c r="C21" s="58"/>
      <c r="D21" s="59"/>
      <c r="E21" s="59"/>
      <c r="F21" s="60"/>
      <c r="G21" s="25"/>
      <c r="H21" s="58"/>
      <c r="I21" s="59"/>
      <c r="J21" s="59"/>
      <c r="K21" s="60"/>
      <c r="L21" s="25"/>
      <c r="M21" s="58"/>
      <c r="N21" s="59"/>
      <c r="O21" s="59"/>
      <c r="P21" s="60"/>
      <c r="Q21" s="47" t="str">
        <f>IF(OR(COUNTIF(AD19:AI19,0)&gt;0,COUNTIF(AD21:AF21,0)&gt;0),"",INDEX(AD19:AI19,MATCH(TRUE,ISNA(MATCH(AD19:AI19,AD21:AF21,0)),0)))</f>
        <v/>
      </c>
      <c r="R21" s="52"/>
      <c r="S21" s="64" t="str">
        <f>IF(OR(COUNTIF(AD19:AI19,0)&gt;0,COUNTIF(AD21:AG21,0)&gt;0),"",INDEX(AD19:AI19,MATCH(TRUE,ISNA(MATCH(AD19:AI19,AD21:AG21,0)),0)))</f>
        <v/>
      </c>
      <c r="T21" s="65"/>
      <c r="U21" s="47" t="str">
        <f>IF(OR(COUNTIF(AD19:AI19,0)&gt;0,COUNTIF(AD21:AH21,0)&gt;0),"",INDEX(AD19:AI19,MATCH(TRUE,ISNA(MATCH(AD19:AI19,AD21:AH21,0)),0)))</f>
        <v/>
      </c>
      <c r="V21" s="52"/>
      <c r="W21" s="50"/>
      <c r="X21" s="50"/>
      <c r="Y21" s="47">
        <f>IF(OR(A19="前置OD1",A19="后置OD1"),AK21,IF(OR(A19="前置OD2",A19="后置OD2"),AL21,IF(OR(A19="前置OD3",A19="后置OD3"),AM21,IF(LEFT(A21,2)="后置",Y19+E20+J20+O20+W19,Y19+E20+J20+O20+W19+X19))))</f>
        <v>0</v>
      </c>
      <c r="Z21" s="47">
        <f>IF(Y21&lt;$AJ$4,Y21,$AJ$4)</f>
        <v>0</v>
      </c>
      <c r="AA21" s="47">
        <f>F22+K22+P22</f>
        <v>0</v>
      </c>
      <c r="AB21" s="24"/>
      <c r="AC21" s="24"/>
      <c r="AD21" s="16">
        <f>B21</f>
        <v>0</v>
      </c>
      <c r="AE21" s="16">
        <f>G21</f>
        <v>0</v>
      </c>
      <c r="AF21" s="16">
        <f>L21</f>
        <v>0</v>
      </c>
      <c r="AG21" s="16" t="str">
        <f>Q21</f>
        <v/>
      </c>
      <c r="AH21" s="16" t="str">
        <f>S21</f>
        <v/>
      </c>
      <c r="AI21" s="16" t="str">
        <f>U21</f>
        <v/>
      </c>
      <c r="AK21" s="45">
        <f>Z19-$AJ$4/3+E20+J20+O20+X19</f>
        <v>-100</v>
      </c>
      <c r="AL21" s="45">
        <f>Z19-$AJ$4/3*2+E20+J20+O20+X19</f>
        <v>-200</v>
      </c>
      <c r="AM21" s="45">
        <f>Z19-$AJ$4+E20+J20+O20+X19</f>
        <v>-300</v>
      </c>
    </row>
    <row r="22" spans="1:39" ht="16.5" customHeight="1">
      <c r="A22" s="72"/>
      <c r="B22" s="26" t="e">
        <f>CHOOSE(MATCH(B21,B19:U19,0),B20-C20+D20,0,0,0,0,G20-H20+I20,0,0,0,0,L20-M20+N20,0,0,0,0,Q20+R20,0,S20+T20,0,U20+V20)</f>
        <v>#N/A</v>
      </c>
      <c r="C22" s="17"/>
      <c r="D22" s="17"/>
      <c r="E22" s="20"/>
      <c r="F22" s="27"/>
      <c r="G22" s="26" t="e">
        <f>CHOOSE(MATCH(G21,B19:U19,0),B20-C20+D20,0,0,0,0,G20-H20+I20,0,0,0,0,L20-M20+N20,0,0,0,0,Q20+R20,0,S20+T20,0,U20+V20)</f>
        <v>#N/A</v>
      </c>
      <c r="H22" s="17"/>
      <c r="I22" s="17"/>
      <c r="J22" s="20"/>
      <c r="K22" s="27"/>
      <c r="L22" s="26" t="e">
        <f>CHOOSE(MATCH(L21,B19:U19,0),B20-C20+D20,0,0,0,0,G20-H20+I20,0,0,0,0,L20-M20+N20,0,0,0,0,Q20+R20,0,S20+T20,0,U20+V20)</f>
        <v>#N/A</v>
      </c>
      <c r="M22" s="17"/>
      <c r="N22" s="17"/>
      <c r="O22" s="20"/>
      <c r="P22" s="27"/>
      <c r="Q22" s="18" t="e">
        <f>CHOOSE(MATCH(Q21,B19:U19,0),B20-C20+D20,0,0,0,0,G20-H20+I20,0,0,0,0,L20-M20+N20,0,0,0,0,Q20+R20,0,S20+T20,0,U20+V20)</f>
        <v>#N/A</v>
      </c>
      <c r="R22" s="17"/>
      <c r="S22" s="18" t="e">
        <f>CHOOSE(MATCH(S21,B19:U19,0),B20-C20+D20,0,0,0,0,G20-H20+I20,0,0,0,0,L20-M20+N20,0,0,0,0,Q20+R20,0,S20+T20,0,U20+V20)</f>
        <v>#N/A</v>
      </c>
      <c r="T22" s="17"/>
      <c r="U22" s="18" t="e">
        <f>CHOOSE(MATCH(U21,B19:U19,0),B20-C20+D20,0,0,0,0,G20-H20+I20,0,0,0,0,L20-M20+N20,0,0,0,0,Q20+R20,0,S20+T20,0,U20+V20)</f>
        <v>#N/A</v>
      </c>
      <c r="V22" s="17"/>
      <c r="W22" s="51"/>
      <c r="X22" s="53"/>
      <c r="Y22" s="47"/>
      <c r="Z22" s="49"/>
      <c r="AA22" s="48"/>
      <c r="AB22" s="24"/>
      <c r="AC22" s="24"/>
      <c r="AK22" s="46"/>
      <c r="AL22" s="46"/>
      <c r="AM22" s="46"/>
    </row>
    <row r="23" spans="1:39" ht="16.5" customHeight="1">
      <c r="A23" s="70">
        <v>10</v>
      </c>
      <c r="B23" s="25"/>
      <c r="C23" s="58"/>
      <c r="D23" s="59"/>
      <c r="E23" s="59"/>
      <c r="F23" s="60"/>
      <c r="G23" s="25"/>
      <c r="H23" s="58"/>
      <c r="I23" s="59"/>
      <c r="J23" s="59"/>
      <c r="K23" s="60"/>
      <c r="L23" s="25"/>
      <c r="M23" s="58"/>
      <c r="N23" s="59"/>
      <c r="O23" s="59"/>
      <c r="P23" s="60"/>
      <c r="Q23" s="47" t="str">
        <f>IF(OR(COUNTIF(AD21:AI21,0)&gt;0,COUNTIF(AD23:AF23,0)&gt;0),"",INDEX(AD21:AI21,MATCH(TRUE,ISNA(MATCH(AD21:AI21,AD23:AF23,0)),0)))</f>
        <v/>
      </c>
      <c r="R23" s="52"/>
      <c r="S23" s="64" t="str">
        <f>IF(OR(COUNTIF(AD21:AI21,0)&gt;0,COUNTIF(AD23:AG23,0)&gt;0),"",INDEX(AD21:AI21,MATCH(TRUE,ISNA(MATCH(AD21:AI21,AD23:AG23,0)),0)))</f>
        <v/>
      </c>
      <c r="T23" s="65"/>
      <c r="U23" s="47" t="str">
        <f>IF(OR(COUNTIF(AD21:AI21,0)&gt;0,COUNTIF(AD23:AH23,0)&gt;0),"",INDEX(AD21:AI21,MATCH(TRUE,ISNA(MATCH(AD21:AI21,AD23:AH23,0)),0)))</f>
        <v/>
      </c>
      <c r="V23" s="52"/>
      <c r="W23" s="50"/>
      <c r="X23" s="50"/>
      <c r="Y23" s="47">
        <f>IF(OR(A21="前置OD1",A21="后置OD1"),AK23,IF(OR(A21="前置OD2",A21="后置OD2"),AL23,IF(OR(A21="前置OD3",A21="后置OD3"),AM23,IF(LEFT(A23,2)="后置",Y21+E22+J22+O22+W21,Y21+E22+J22+O22+W21+X21))))</f>
        <v>0</v>
      </c>
      <c r="Z23" s="47">
        <f>IF(Y23&lt;$AJ$4,Y23,$AJ$4)</f>
        <v>0</v>
      </c>
      <c r="AA23" s="47">
        <f>F24+K24+P24</f>
        <v>0</v>
      </c>
      <c r="AB23" s="24"/>
      <c r="AC23" s="24"/>
      <c r="AD23" s="16">
        <f>B23</f>
        <v>0</v>
      </c>
      <c r="AE23" s="16">
        <f>G23</f>
        <v>0</v>
      </c>
      <c r="AF23" s="16">
        <f>L23</f>
        <v>0</v>
      </c>
      <c r="AG23" s="16" t="str">
        <f>Q23</f>
        <v/>
      </c>
      <c r="AH23" s="16" t="str">
        <f>S23</f>
        <v/>
      </c>
      <c r="AI23" s="16" t="str">
        <f>U23</f>
        <v/>
      </c>
      <c r="AK23" s="45">
        <f>Z21-$AJ$4/3+E22+J22+O22+X21</f>
        <v>-100</v>
      </c>
      <c r="AL23" s="45">
        <f>Z21-$AJ$4/3*2+E22+J22+O22+X21</f>
        <v>-200</v>
      </c>
      <c r="AM23" s="45">
        <f>Z21-$AJ$4+E22+J22+O22+X21</f>
        <v>-300</v>
      </c>
    </row>
    <row r="24" spans="1:39" ht="16.5" customHeight="1">
      <c r="A24" s="72"/>
      <c r="B24" s="26" t="e">
        <f>CHOOSE(MATCH(B23,B21:U21,0),B22-C22+D22,0,0,0,0,G22-H22+I22,0,0,0,0,L22-M22+N22,0,0,0,0,Q22+R22,0,S22+T22,0,U22+V22)</f>
        <v>#N/A</v>
      </c>
      <c r="C24" s="17"/>
      <c r="D24" s="17"/>
      <c r="E24" s="20"/>
      <c r="F24" s="27"/>
      <c r="G24" s="26" t="e">
        <f>CHOOSE(MATCH(G23,B21:U21,0),B22-C22+D22,0,0,0,0,G22-H22+I22,0,0,0,0,L22-M22+N22,0,0,0,0,Q22+R22,0,S22+T22,0,U22+V22)</f>
        <v>#N/A</v>
      </c>
      <c r="H24" s="17"/>
      <c r="I24" s="17"/>
      <c r="J24" s="20"/>
      <c r="K24" s="27"/>
      <c r="L24" s="26" t="e">
        <f>CHOOSE(MATCH(L23,B21:U21,0),B22-C22+D22,0,0,0,0,G22-H22+I22,0,0,0,0,L22-M22+N22,0,0,0,0,Q22+R22,0,S22+T22,0,U22+V22)</f>
        <v>#N/A</v>
      </c>
      <c r="M24" s="17"/>
      <c r="N24" s="17"/>
      <c r="O24" s="20"/>
      <c r="P24" s="27"/>
      <c r="Q24" s="18" t="e">
        <f>CHOOSE(MATCH(Q23,B21:U21,0),B22-C22+D22,0,0,0,0,G22-H22+I22,0,0,0,0,L22-M22+N22,0,0,0,0,Q22+R22,0,S22+T22,0,U22+V22)</f>
        <v>#N/A</v>
      </c>
      <c r="R24" s="17"/>
      <c r="S24" s="18" t="e">
        <f>CHOOSE(MATCH(S23,B21:U21,0),B22-C22+D22,0,0,0,0,G22-H22+I22,0,0,0,0,L22-M22+N22,0,0,0,0,Q22+R22,0,S22+T22,0,U22+V22)</f>
        <v>#N/A</v>
      </c>
      <c r="T24" s="17"/>
      <c r="U24" s="18" t="e">
        <f>CHOOSE(MATCH(U23,B21:U21,0),B22-C22+D22,0,0,0,0,G22-H22+I22,0,0,0,0,L22-M22+N22,0,0,0,0,Q22+R22,0,S22+T22,0,U22+V22)</f>
        <v>#N/A</v>
      </c>
      <c r="V24" s="17"/>
      <c r="W24" s="51"/>
      <c r="X24" s="66"/>
      <c r="Y24" s="47"/>
      <c r="Z24" s="49"/>
      <c r="AA24" s="48"/>
      <c r="AB24" s="24"/>
      <c r="AC24" s="24"/>
      <c r="AK24" s="46"/>
      <c r="AL24" s="46"/>
      <c r="AM24" s="46"/>
    </row>
    <row r="25" spans="1:39" ht="16.5" customHeight="1">
      <c r="A25" s="70">
        <v>11</v>
      </c>
      <c r="B25" s="25"/>
      <c r="C25" s="58"/>
      <c r="D25" s="59"/>
      <c r="E25" s="59"/>
      <c r="F25" s="60"/>
      <c r="G25" s="25"/>
      <c r="H25" s="58"/>
      <c r="I25" s="59"/>
      <c r="J25" s="59"/>
      <c r="K25" s="60"/>
      <c r="L25" s="25"/>
      <c r="M25" s="58"/>
      <c r="N25" s="59"/>
      <c r="O25" s="59"/>
      <c r="P25" s="60"/>
      <c r="Q25" s="47" t="str">
        <f>IF(OR(COUNTIF(AD23:AI23,0)&gt;0,COUNTIF(AD25:AF25,0)&gt;0),"",INDEX(AD23:AI23,MATCH(TRUE,ISNA(MATCH(AD23:AI23,AD25:AF25,0)),0)))</f>
        <v/>
      </c>
      <c r="R25" s="52"/>
      <c r="S25" s="64" t="str">
        <f>IF(OR(COUNTIF(AD23:AI23,0)&gt;0,COUNTIF(AD25:AG25,0)&gt;0),"",INDEX(AD23:AI23,MATCH(TRUE,ISNA(MATCH(AD23:AI23,AD25:AG25,0)),0)))</f>
        <v/>
      </c>
      <c r="T25" s="65"/>
      <c r="U25" s="47" t="str">
        <f>IF(OR(COUNTIF(AD23:AI23,0)&gt;0,COUNTIF(AD25:AH25,0)&gt;0),"",INDEX(AD23:AI23,MATCH(TRUE,ISNA(MATCH(AD23:AI23,AD25:AH25,0)),0)))</f>
        <v/>
      </c>
      <c r="V25" s="52"/>
      <c r="W25" s="50"/>
      <c r="X25" s="50"/>
      <c r="Y25" s="47">
        <f>IF(OR(A23="前置OD1",A23="后置OD1"),AK25,IF(OR(A23="前置OD2",A23="后置OD2"),AL25,IF(OR(A23="前置OD3",A23="后置OD3"),AM25,IF(LEFT(A25,2)="后置",Y23+E24+J24+O24+W23,Y23+E24+J24+O24+W23+X23))))</f>
        <v>0</v>
      </c>
      <c r="Z25" s="47">
        <f>IF(Y25&lt;$AJ$4,Y25,$AJ$4)</f>
        <v>0</v>
      </c>
      <c r="AA25" s="47">
        <f>F26+K26+P26</f>
        <v>0</v>
      </c>
      <c r="AB25" s="24"/>
      <c r="AC25" s="24"/>
      <c r="AD25" s="16">
        <f>B25</f>
        <v>0</v>
      </c>
      <c r="AE25" s="16">
        <f>G25</f>
        <v>0</v>
      </c>
      <c r="AF25" s="16">
        <f>L25</f>
        <v>0</v>
      </c>
      <c r="AG25" s="16" t="str">
        <f>Q25</f>
        <v/>
      </c>
      <c r="AH25" s="16" t="str">
        <f>S25</f>
        <v/>
      </c>
      <c r="AI25" s="16" t="str">
        <f>U25</f>
        <v/>
      </c>
      <c r="AK25" s="45">
        <f>Z23-$AJ$4/3+E24+J24+O24+X23</f>
        <v>-100</v>
      </c>
      <c r="AL25" s="45">
        <f>Z23-$AJ$4/3*2+E24+J24+O24+X23</f>
        <v>-200</v>
      </c>
      <c r="AM25" s="45">
        <f>Z23-$AJ$4+E24+J24+O24+X23</f>
        <v>-300</v>
      </c>
    </row>
    <row r="26" spans="1:39" ht="16.5" customHeight="1">
      <c r="A26" s="72"/>
      <c r="B26" s="26" t="e">
        <f>CHOOSE(MATCH(B25,B23:U23,0),B24-C24+D24,0,0,0,0,G24-H24+I24,0,0,0,0,L24-M24+N24,0,0,0,0,Q24+R24,0,S24+T24,0,U24+V24)</f>
        <v>#N/A</v>
      </c>
      <c r="C26" s="17"/>
      <c r="D26" s="17"/>
      <c r="E26" s="20"/>
      <c r="F26" s="27"/>
      <c r="G26" s="26" t="e">
        <f>CHOOSE(MATCH(G25,B23:U23,0),B24-C24+D24,0,0,0,0,G24-H24+I24,0,0,0,0,L24-M24+N24,0,0,0,0,Q24+R24,0,S24+T24,0,U24+V24)</f>
        <v>#N/A</v>
      </c>
      <c r="H26" s="17"/>
      <c r="I26" s="17"/>
      <c r="J26" s="20"/>
      <c r="K26" s="27"/>
      <c r="L26" s="26" t="e">
        <f>CHOOSE(MATCH(L25,B23:U23,0),B24-C24+D24,0,0,0,0,G24-H24+I24,0,0,0,0,L24-M24+N24,0,0,0,0,Q24+R24,0,S24+T24,0,U24+V24)</f>
        <v>#N/A</v>
      </c>
      <c r="M26" s="17"/>
      <c r="N26" s="17"/>
      <c r="O26" s="20"/>
      <c r="P26" s="27"/>
      <c r="Q26" s="18" t="e">
        <f>CHOOSE(MATCH(Q25,B23:U23,0),B24-C24+D24,0,0,0,0,G24-H24+I24,0,0,0,0,L24-M24+N24,0,0,0,0,Q24+R24,0,S24+T24,0,U24+V24)</f>
        <v>#N/A</v>
      </c>
      <c r="R26" s="17"/>
      <c r="S26" s="18" t="e">
        <f>CHOOSE(MATCH(S25,B23:U23,0),B24-C24+D24,0,0,0,0,G24-H24+I24,0,0,0,0,L24-M24+N24,0,0,0,0,Q24+R24,0,S24+T24,0,U24+V24)</f>
        <v>#N/A</v>
      </c>
      <c r="T26" s="17"/>
      <c r="U26" s="18" t="e">
        <f>CHOOSE(MATCH(U25,B23:U23,0),B24-C24+D24,0,0,0,0,G24-H24+I24,0,0,0,0,L24-M24+N24,0,0,0,0,Q24+R24,0,S24+T24,0,U24+V24)</f>
        <v>#N/A</v>
      </c>
      <c r="V26" s="17"/>
      <c r="W26" s="51"/>
      <c r="X26" s="53"/>
      <c r="Y26" s="47"/>
      <c r="Z26" s="49"/>
      <c r="AA26" s="48"/>
      <c r="AB26" s="24"/>
      <c r="AC26" s="24"/>
      <c r="AK26" s="46"/>
      <c r="AL26" s="46"/>
      <c r="AM26" s="46"/>
    </row>
    <row r="27" spans="1:39" ht="16.5" customHeight="1">
      <c r="A27" s="70">
        <v>12</v>
      </c>
      <c r="B27" s="25"/>
      <c r="C27" s="58"/>
      <c r="D27" s="59"/>
      <c r="E27" s="59"/>
      <c r="F27" s="60"/>
      <c r="G27" s="25"/>
      <c r="H27" s="58"/>
      <c r="I27" s="59"/>
      <c r="J27" s="59"/>
      <c r="K27" s="60"/>
      <c r="L27" s="25"/>
      <c r="M27" s="58"/>
      <c r="N27" s="59"/>
      <c r="O27" s="59"/>
      <c r="P27" s="60"/>
      <c r="Q27" s="47" t="str">
        <f>IF(OR(COUNTIF(AD25:AI25,0)&gt;0,COUNTIF(AD27:AF27,0)&gt;0),"",INDEX(AD25:AI25,MATCH(TRUE,ISNA(MATCH(AD25:AI25,AD27:AF27,0)),0)))</f>
        <v/>
      </c>
      <c r="R27" s="52"/>
      <c r="S27" s="64" t="str">
        <f>IF(OR(COUNTIF(AD25:AI25,0)&gt;0,COUNTIF(AD27:AG27,0)&gt;0),"",INDEX(AD25:AI25,MATCH(TRUE,ISNA(MATCH(AD25:AI25,AD27:AG27,0)),0)))</f>
        <v/>
      </c>
      <c r="T27" s="65"/>
      <c r="U27" s="47" t="str">
        <f>IF(OR(COUNTIF(AD25:AI25,0)&gt;0,COUNTIF(AD27:AH27,0)&gt;0),"",INDEX(AD25:AI25,MATCH(TRUE,ISNA(MATCH(AD25:AI25,AD27:AH27,0)),0)))</f>
        <v/>
      </c>
      <c r="V27" s="52"/>
      <c r="W27" s="50"/>
      <c r="X27" s="50"/>
      <c r="Y27" s="47">
        <f>IF(OR(A25="前置OD1",A25="后置OD1"),AK27,IF(OR(A25="前置OD2",A25="后置OD2"),AL27,IF(OR(A25="前置OD3",A25="后置OD3"),AM27,IF(LEFT(A27,2)="后置",Y25+E26+J26+O26+W25,Y25+E26+J26+O26+W25+X25))))</f>
        <v>0</v>
      </c>
      <c r="Z27" s="47">
        <f>IF(Y27&lt;$AJ$4,Y27,$AJ$4)</f>
        <v>0</v>
      </c>
      <c r="AA27" s="47">
        <f>F28+K28+P28</f>
        <v>0</v>
      </c>
      <c r="AB27" s="24"/>
      <c r="AC27" s="24"/>
      <c r="AD27" s="16">
        <f>B27</f>
        <v>0</v>
      </c>
      <c r="AE27" s="16">
        <f>G27</f>
        <v>0</v>
      </c>
      <c r="AF27" s="16">
        <f>L27</f>
        <v>0</v>
      </c>
      <c r="AG27" s="16" t="str">
        <f>Q27</f>
        <v/>
      </c>
      <c r="AH27" s="16" t="str">
        <f>S27</f>
        <v/>
      </c>
      <c r="AI27" s="16" t="str">
        <f>U27</f>
        <v/>
      </c>
      <c r="AK27" s="45">
        <f>Z25-$AJ$4/3+E26+J26+O26+X25</f>
        <v>-100</v>
      </c>
      <c r="AL27" s="45">
        <f>Z25-$AJ$4/3*2+E26+J26+O26+X25</f>
        <v>-200</v>
      </c>
      <c r="AM27" s="45">
        <f>Z25-$AJ$4+E26+J26+O26+X25</f>
        <v>-300</v>
      </c>
    </row>
    <row r="28" spans="1:39" ht="16.5" customHeight="1">
      <c r="A28" s="72"/>
      <c r="B28" s="26" t="e">
        <f>CHOOSE(MATCH(B27,B25:U25,0),B26-C26+D26,0,0,0,0,G26-H26+I26,0,0,0,0,L26-M26+N26,0,0,0,0,Q26+R26,0,S26+T26,0,U26+V26)</f>
        <v>#N/A</v>
      </c>
      <c r="C28" s="17"/>
      <c r="D28" s="17"/>
      <c r="E28" s="20"/>
      <c r="F28" s="27"/>
      <c r="G28" s="26" t="e">
        <f>CHOOSE(MATCH(G27,B25:U25,0),B26-C26+D26,0,0,0,0,G26-H26+I26,0,0,0,0,L26-M26+N26,0,0,0,0,Q26+R26,0,S26+T26,0,U26+V26)</f>
        <v>#N/A</v>
      </c>
      <c r="H28" s="17"/>
      <c r="I28" s="17"/>
      <c r="J28" s="20"/>
      <c r="K28" s="27"/>
      <c r="L28" s="26" t="e">
        <f>CHOOSE(MATCH(L27,B25:U25,0),B26-C26+D26,0,0,0,0,G26-H26+I26,0,0,0,0,L26-M26+N26,0,0,0,0,Q26+R26,0,S26+T26,0,U26+V26)</f>
        <v>#N/A</v>
      </c>
      <c r="M28" s="17"/>
      <c r="N28" s="17"/>
      <c r="O28" s="20"/>
      <c r="P28" s="27"/>
      <c r="Q28" s="18" t="e">
        <f>CHOOSE(MATCH(Q27,B25:U25,0),B26-C26+D26,0,0,0,0,G26-H26+I26,0,0,0,0,L26-M26+N26,0,0,0,0,Q26+R26,0,S26+T26,0,U26+V26)</f>
        <v>#N/A</v>
      </c>
      <c r="R28" s="17"/>
      <c r="S28" s="18" t="e">
        <f>CHOOSE(MATCH(S27,B25:U25,0),B26-C26+D26,0,0,0,0,G26-H26+I26,0,0,0,0,L26-M26+N26,0,0,0,0,Q26+R26,0,S26+T26,0,U26+V26)</f>
        <v>#N/A</v>
      </c>
      <c r="T28" s="17"/>
      <c r="U28" s="18" t="e">
        <f>CHOOSE(MATCH(U27,B25:U25,0),B26-C26+D26,0,0,0,0,G26-H26+I26,0,0,0,0,L26-M26+N26,0,0,0,0,Q26+R26,0,S26+T26,0,U26+V26)</f>
        <v>#N/A</v>
      </c>
      <c r="V28" s="17"/>
      <c r="W28" s="51"/>
      <c r="X28" s="66"/>
      <c r="Y28" s="47"/>
      <c r="Z28" s="49"/>
      <c r="AA28" s="48"/>
      <c r="AB28" s="24"/>
      <c r="AC28" s="24"/>
      <c r="AK28" s="46"/>
      <c r="AL28" s="46"/>
      <c r="AM28" s="46"/>
    </row>
    <row r="29" spans="1:39" ht="16.5" customHeight="1">
      <c r="A29" s="70">
        <v>13</v>
      </c>
      <c r="B29" s="25"/>
      <c r="C29" s="58"/>
      <c r="D29" s="59"/>
      <c r="E29" s="59"/>
      <c r="F29" s="60"/>
      <c r="G29" s="25"/>
      <c r="H29" s="58"/>
      <c r="I29" s="59"/>
      <c r="J29" s="59"/>
      <c r="K29" s="60"/>
      <c r="L29" s="25"/>
      <c r="M29" s="58"/>
      <c r="N29" s="59"/>
      <c r="O29" s="59"/>
      <c r="P29" s="60"/>
      <c r="Q29" s="47" t="str">
        <f>IF(OR(COUNTIF(AD27:AI27,0)&gt;0,COUNTIF(AD29:AF29,0)&gt;0),"",INDEX(AD27:AI27,MATCH(TRUE,ISNA(MATCH(AD27:AI27,AD29:AF29,0)),0)))</f>
        <v/>
      </c>
      <c r="R29" s="52"/>
      <c r="S29" s="64" t="str">
        <f>IF(OR(COUNTIF(AD27:AI27,0)&gt;0,COUNTIF(AD29:AG29,0)&gt;0),"",INDEX(AD27:AI27,MATCH(TRUE,ISNA(MATCH(AD27:AI27,AD29:AG29,0)),0)))</f>
        <v/>
      </c>
      <c r="T29" s="65"/>
      <c r="U29" s="47" t="str">
        <f>IF(OR(COUNTIF(AD27:AI27,0)&gt;0,COUNTIF(AD29:AH29,0)&gt;0),"",INDEX(AD27:AI27,MATCH(TRUE,ISNA(MATCH(AD27:AI27,AD29:AH29,0)),0)))</f>
        <v/>
      </c>
      <c r="V29" s="52"/>
      <c r="W29" s="50"/>
      <c r="X29" s="50"/>
      <c r="Y29" s="47">
        <f>IF(OR(A27="前置OD1",A27="后置OD1"),AK29,IF(OR(A27="前置OD2",A27="后置OD2"),AL29,IF(OR(A27="前置OD3",A27="后置OD3"),AM29,IF(LEFT(A29,2)="后置",Y27+E28+J28+O28+W27,Y27+E28+J28+O28+W27+X27))))</f>
        <v>0</v>
      </c>
      <c r="Z29" s="47">
        <f>IF(Y29&lt;$AJ$4,Y29,$AJ$4)</f>
        <v>0</v>
      </c>
      <c r="AA29" s="47">
        <f>F30+K30+P30</f>
        <v>0</v>
      </c>
      <c r="AB29" s="24"/>
      <c r="AC29" s="24"/>
      <c r="AD29" s="16">
        <f>B29</f>
        <v>0</v>
      </c>
      <c r="AE29" s="16">
        <f>G29</f>
        <v>0</v>
      </c>
      <c r="AF29" s="16">
        <f>L29</f>
        <v>0</v>
      </c>
      <c r="AG29" s="16" t="str">
        <f>Q29</f>
        <v/>
      </c>
      <c r="AH29" s="16" t="str">
        <f>S29</f>
        <v/>
      </c>
      <c r="AI29" s="16" t="str">
        <f>U29</f>
        <v/>
      </c>
      <c r="AK29" s="45">
        <f>Z27-$AJ$4/3+E28+J28+O28+X27</f>
        <v>-100</v>
      </c>
      <c r="AL29" s="45">
        <f>Z27-$AJ$4/3*2+E28+J28+O28+X27</f>
        <v>-200</v>
      </c>
      <c r="AM29" s="45">
        <f>Z27-$AJ$4+E28+J28+O28+X27</f>
        <v>-300</v>
      </c>
    </row>
    <row r="30" spans="1:39" ht="16.5" customHeight="1">
      <c r="A30" s="72"/>
      <c r="B30" s="26" t="e">
        <f>CHOOSE(MATCH(B29,B27:U27,0),B28-C28+D28,0,0,0,0,G28-H28+I28,0,0,0,0,L28-M28+N28,0,0,0,0,Q28+R28,0,S28+T28,0,U28+V28)</f>
        <v>#N/A</v>
      </c>
      <c r="C30" s="17"/>
      <c r="D30" s="17"/>
      <c r="E30" s="20"/>
      <c r="F30" s="27"/>
      <c r="G30" s="26" t="e">
        <f>CHOOSE(MATCH(G29,B27:U27,0),B28-C28+D28,0,0,0,0,G28-H28+I28,0,0,0,0,L28-M28+N28,0,0,0,0,Q28+R28,0,S28+T28,0,U28+V28)</f>
        <v>#N/A</v>
      </c>
      <c r="H30" s="17"/>
      <c r="I30" s="17"/>
      <c r="J30" s="20"/>
      <c r="K30" s="27"/>
      <c r="L30" s="26" t="e">
        <f>CHOOSE(MATCH(L29,B27:U27,0),B28-C28+D28,0,0,0,0,G28-H28+I28,0,0,0,0,L28-M28+N28,0,0,0,0,Q28+R28,0,S28+T28,0,U28+V28)</f>
        <v>#N/A</v>
      </c>
      <c r="M30" s="17"/>
      <c r="N30" s="17"/>
      <c r="O30" s="20"/>
      <c r="P30" s="27"/>
      <c r="Q30" s="18" t="e">
        <f>CHOOSE(MATCH(Q29,B27:U27,0),B28-C28+D28,0,0,0,0,G28-H28+I28,0,0,0,0,L28-M28+N28,0,0,0,0,Q28+R28,0,S28+T28,0,U28+V28)</f>
        <v>#N/A</v>
      </c>
      <c r="R30" s="17"/>
      <c r="S30" s="18" t="e">
        <f>CHOOSE(MATCH(S29,B27:U27,0),B28-C28+D28,0,0,0,0,G28-H28+I28,0,0,0,0,L28-M28+N28,0,0,0,0,Q28+R28,0,S28+T28,0,U28+V28)</f>
        <v>#N/A</v>
      </c>
      <c r="T30" s="17"/>
      <c r="U30" s="18" t="e">
        <f>CHOOSE(MATCH(U29,B27:U27,0),B28-C28+D28,0,0,0,0,G28-H28+I28,0,0,0,0,L28-M28+N28,0,0,0,0,Q28+R28,0,S28+T28,0,U28+V28)</f>
        <v>#N/A</v>
      </c>
      <c r="V30" s="17"/>
      <c r="W30" s="51"/>
      <c r="X30" s="53"/>
      <c r="Y30" s="47"/>
      <c r="Z30" s="49"/>
      <c r="AA30" s="48"/>
      <c r="AB30" s="24"/>
      <c r="AC30" s="24"/>
      <c r="AK30" s="46"/>
      <c r="AL30" s="46"/>
      <c r="AM30" s="46"/>
    </row>
    <row r="31" spans="1:39" ht="16.5" customHeight="1">
      <c r="A31" s="70">
        <v>14</v>
      </c>
      <c r="B31" s="25"/>
      <c r="C31" s="58"/>
      <c r="D31" s="59"/>
      <c r="E31" s="59"/>
      <c r="F31" s="60"/>
      <c r="G31" s="25"/>
      <c r="H31" s="58"/>
      <c r="I31" s="59"/>
      <c r="J31" s="59"/>
      <c r="K31" s="60"/>
      <c r="L31" s="25"/>
      <c r="M31" s="58"/>
      <c r="N31" s="59"/>
      <c r="O31" s="59"/>
      <c r="P31" s="60"/>
      <c r="Q31" s="47" t="str">
        <f>IF(OR(COUNTIF(AD29:AI29,0)&gt;0,COUNTIF(AD31:AF31,0)&gt;0),"",INDEX(AD29:AI29,MATCH(TRUE,ISNA(MATCH(AD29:AI29,AD31:AF31,0)),0)))</f>
        <v/>
      </c>
      <c r="R31" s="52"/>
      <c r="S31" s="64" t="str">
        <f>IF(OR(COUNTIF(AD29:AI29,0)&gt;0,COUNTIF(AD31:AG31,0)&gt;0),"",INDEX(AD29:AI29,MATCH(TRUE,ISNA(MATCH(AD29:AI29,AD31:AG31,0)),0)))</f>
        <v/>
      </c>
      <c r="T31" s="65"/>
      <c r="U31" s="47" t="str">
        <f>IF(OR(COUNTIF(AD29:AI29,0)&gt;0,COUNTIF(AD31:AH31,0)&gt;0),"",INDEX(AD29:AI29,MATCH(TRUE,ISNA(MATCH(AD29:AI29,AD31:AH31,0)),0)))</f>
        <v/>
      </c>
      <c r="V31" s="52"/>
      <c r="W31" s="50"/>
      <c r="X31" s="50"/>
      <c r="Y31" s="47">
        <f>IF(OR(A29="前置OD1",A29="后置OD1"),AK31,IF(OR(A29="前置OD2",A29="后置OD2"),AL31,IF(OR(A29="前置OD3",A29="后置OD3"),AM31,IF(LEFT(A31,2)="后置",Y29+E30+J30+O30+W29,Y29+E30+J30+O30+W29+X29))))</f>
        <v>0</v>
      </c>
      <c r="Z31" s="47">
        <f>IF(Y31&lt;$AJ$4,Y31,$AJ$4)</f>
        <v>0</v>
      </c>
      <c r="AA31" s="47">
        <f>F32+K32+P32</f>
        <v>0</v>
      </c>
      <c r="AB31" s="24"/>
      <c r="AC31" s="24"/>
      <c r="AD31" s="16">
        <f>B31</f>
        <v>0</v>
      </c>
      <c r="AE31" s="16">
        <f>G31</f>
        <v>0</v>
      </c>
      <c r="AF31" s="16">
        <f>L31</f>
        <v>0</v>
      </c>
      <c r="AG31" s="16" t="str">
        <f>Q31</f>
        <v/>
      </c>
      <c r="AH31" s="16" t="str">
        <f>S31</f>
        <v/>
      </c>
      <c r="AI31" s="16" t="str">
        <f>U31</f>
        <v/>
      </c>
      <c r="AK31" s="45">
        <f>Z29-$AJ$4/3+E30+J30+O30+X29</f>
        <v>-100</v>
      </c>
      <c r="AL31" s="45">
        <f>Z29-$AJ$4/3*2+E30+J30+O30+X29</f>
        <v>-200</v>
      </c>
      <c r="AM31" s="45">
        <f>Z29-$AJ$4+E30+J30+O30+X29</f>
        <v>-300</v>
      </c>
    </row>
    <row r="32" spans="1:39" ht="16.5" customHeight="1">
      <c r="A32" s="72"/>
      <c r="B32" s="26" t="e">
        <f>CHOOSE(MATCH(B31,B29:U29,0),B30-C30+D30,0,0,0,0,G30-H30+I30,0,0,0,0,L30-M30+N30,0,0,0,0,Q30+R30,0,S30+T30,0,U30+V30)</f>
        <v>#N/A</v>
      </c>
      <c r="C32" s="17"/>
      <c r="D32" s="17"/>
      <c r="E32" s="20"/>
      <c r="F32" s="27"/>
      <c r="G32" s="26" t="e">
        <f>CHOOSE(MATCH(G31,B29:U29,0),B30-C30+D30,0,0,0,0,G30-H30+I30,0,0,0,0,L30-M30+N30,0,0,0,0,Q30+R30,0,S30+T30,0,U30+V30)</f>
        <v>#N/A</v>
      </c>
      <c r="H32" s="17"/>
      <c r="I32" s="17"/>
      <c r="J32" s="20"/>
      <c r="K32" s="27"/>
      <c r="L32" s="26" t="e">
        <f>CHOOSE(MATCH(L31,B29:U29,0),B30-C30+D30,0,0,0,0,G30-H30+I30,0,0,0,0,L30-M30+N30,0,0,0,0,Q30+R30,0,S30+T30,0,U30+V30)</f>
        <v>#N/A</v>
      </c>
      <c r="M32" s="17"/>
      <c r="N32" s="17"/>
      <c r="O32" s="20"/>
      <c r="P32" s="27"/>
      <c r="Q32" s="18" t="e">
        <f>CHOOSE(MATCH(Q31,B29:U29,0),B30-C30+D30,0,0,0,0,G30-H30+I30,0,0,0,0,L30-M30+N30,0,0,0,0,Q30+R30,0,S30+T30,0,U30+V30)</f>
        <v>#N/A</v>
      </c>
      <c r="R32" s="17"/>
      <c r="S32" s="18" t="e">
        <f>CHOOSE(MATCH(S31,B29:U29,0),B30-C30+D30,0,0,0,0,G30-H30+I30,0,0,0,0,L30-M30+N30,0,0,0,0,Q30+R30,0,S30+T30,0,U30+V30)</f>
        <v>#N/A</v>
      </c>
      <c r="T32" s="17"/>
      <c r="U32" s="18" t="e">
        <f>CHOOSE(MATCH(U31,B29:U29,0),B30-C30+D30,0,0,0,0,G30-H30+I30,0,0,0,0,L30-M30+N30,0,0,0,0,Q30+R30,0,S30+T30,0,U30+V30)</f>
        <v>#N/A</v>
      </c>
      <c r="V32" s="17"/>
      <c r="W32" s="51"/>
      <c r="X32" s="66"/>
      <c r="Y32" s="47"/>
      <c r="Z32" s="49"/>
      <c r="AA32" s="48"/>
      <c r="AB32" s="24"/>
      <c r="AC32" s="24"/>
      <c r="AK32" s="46"/>
      <c r="AL32" s="46"/>
      <c r="AM32" s="46"/>
    </row>
    <row r="33" spans="1:39" ht="16.5" customHeight="1">
      <c r="A33" s="70">
        <v>15</v>
      </c>
      <c r="B33" s="25"/>
      <c r="C33" s="58"/>
      <c r="D33" s="59"/>
      <c r="E33" s="59"/>
      <c r="F33" s="60"/>
      <c r="G33" s="25"/>
      <c r="H33" s="58"/>
      <c r="I33" s="59"/>
      <c r="J33" s="59"/>
      <c r="K33" s="60"/>
      <c r="L33" s="25"/>
      <c r="M33" s="58"/>
      <c r="N33" s="59"/>
      <c r="O33" s="59"/>
      <c r="P33" s="60"/>
      <c r="Q33" s="47" t="str">
        <f>IF(OR(COUNTIF(AD31:AI31,0)&gt;0,COUNTIF(AD33:AF33,0)&gt;0),"",INDEX(AD31:AI31,MATCH(TRUE,ISNA(MATCH(AD31:AI31,AD33:AF33,0)),0)))</f>
        <v/>
      </c>
      <c r="R33" s="52"/>
      <c r="S33" s="64" t="str">
        <f>IF(OR(COUNTIF(AD31:AI31,0)&gt;0,COUNTIF(AD33:AG33,0)&gt;0),"",INDEX(AD31:AI31,MATCH(TRUE,ISNA(MATCH(AD31:AI31,AD33:AG33,0)),0)))</f>
        <v/>
      </c>
      <c r="T33" s="65"/>
      <c r="U33" s="47" t="str">
        <f>IF(OR(COUNTIF(AD31:AI31,0)&gt;0,COUNTIF(AD33:AH33,0)&gt;0),"",INDEX(AD31:AI31,MATCH(TRUE,ISNA(MATCH(AD31:AI31,AD33:AH33,0)),0)))</f>
        <v/>
      </c>
      <c r="V33" s="52"/>
      <c r="W33" s="50"/>
      <c r="X33" s="50"/>
      <c r="Y33" s="47">
        <f>IF(OR(A31="前置OD1",A31="后置OD1"),AK33,IF(OR(A31="前置OD2",A31="后置OD2"),AL33,IF(OR(A31="前置OD3",A31="后置OD3"),AM33,IF(LEFT(A33,2)="后置",Y31+E32+J32+O32+W31,Y31+E32+J32+O32+W31+X31))))</f>
        <v>0</v>
      </c>
      <c r="Z33" s="47">
        <f>IF(Y33&lt;$AJ$4,Y33,$AJ$4)</f>
        <v>0</v>
      </c>
      <c r="AA33" s="47">
        <f>F34+K34+P34</f>
        <v>0</v>
      </c>
      <c r="AB33" s="24"/>
      <c r="AC33" s="24"/>
      <c r="AD33" s="16">
        <f>B33</f>
        <v>0</v>
      </c>
      <c r="AE33" s="16">
        <f>G33</f>
        <v>0</v>
      </c>
      <c r="AF33" s="16">
        <f>L33</f>
        <v>0</v>
      </c>
      <c r="AG33" s="16" t="str">
        <f>Q33</f>
        <v/>
      </c>
      <c r="AH33" s="16" t="str">
        <f>S33</f>
        <v/>
      </c>
      <c r="AI33" s="16" t="str">
        <f>U33</f>
        <v/>
      </c>
      <c r="AK33" s="45">
        <f>Z31-$AJ$4/3+E32+J32+O32+X31</f>
        <v>-100</v>
      </c>
      <c r="AL33" s="45">
        <f>Z31-$AJ$4/3*2+E32+J32+O32+X31</f>
        <v>-200</v>
      </c>
      <c r="AM33" s="45">
        <f>Z31-$AJ$4+E32+J32+O32+X31</f>
        <v>-300</v>
      </c>
    </row>
    <row r="34" spans="1:39" ht="16.5" customHeight="1">
      <c r="A34" s="72"/>
      <c r="B34" s="26" t="e">
        <f>CHOOSE(MATCH(B33,B31:U31,0),B32-C32+D32,0,0,0,0,G32-H32+I32,0,0,0,0,L32-M32+N32,0,0,0,0,Q32+R32,0,S32+T32,0,U32+V32)</f>
        <v>#N/A</v>
      </c>
      <c r="C34" s="17"/>
      <c r="D34" s="17"/>
      <c r="E34" s="20"/>
      <c r="F34" s="27"/>
      <c r="G34" s="26" t="e">
        <f>CHOOSE(MATCH(G33,B31:U31,0),B32-C32+D32,0,0,0,0,G32-H32+I32,0,0,0,0,L32-M32+N32,0,0,0,0,Q32+R32,0,S32+T32,0,U32+V32)</f>
        <v>#N/A</v>
      </c>
      <c r="H34" s="17"/>
      <c r="I34" s="17"/>
      <c r="J34" s="20"/>
      <c r="K34" s="27"/>
      <c r="L34" s="26" t="e">
        <f>CHOOSE(MATCH(L33,B31:U31,0),B32-C32+D32,0,0,0,0,G32-H32+I32,0,0,0,0,L32-M32+N32,0,0,0,0,Q32+R32,0,S32+T32,0,U32+V32)</f>
        <v>#N/A</v>
      </c>
      <c r="M34" s="17"/>
      <c r="N34" s="17"/>
      <c r="O34" s="20"/>
      <c r="P34" s="27"/>
      <c r="Q34" s="18" t="e">
        <f>CHOOSE(MATCH(Q33,B31:U31,0),B32-C32+D32,0,0,0,0,G32-H32+I32,0,0,0,0,L32-M32+N32,0,0,0,0,Q32+R32,0,S32+T32,0,U32+V32)</f>
        <v>#N/A</v>
      </c>
      <c r="R34" s="17"/>
      <c r="S34" s="18" t="e">
        <f>CHOOSE(MATCH(S33,B31:U31,0),B32-C32+D32,0,0,0,0,G32-H32+I32,0,0,0,0,L32-M32+N32,0,0,0,0,Q32+R32,0,S32+T32,0,U32+V32)</f>
        <v>#N/A</v>
      </c>
      <c r="T34" s="17"/>
      <c r="U34" s="18" t="e">
        <f>CHOOSE(MATCH(U33,B31:U31,0),B32-C32+D32,0,0,0,0,G32-H32+I32,0,0,0,0,L32-M32+N32,0,0,0,0,Q32+R32,0,S32+T32,0,U32+V32)</f>
        <v>#N/A</v>
      </c>
      <c r="V34" s="17"/>
      <c r="W34" s="51"/>
      <c r="X34" s="53"/>
      <c r="Y34" s="47"/>
      <c r="Z34" s="49"/>
      <c r="AA34" s="48"/>
      <c r="AB34" s="24"/>
      <c r="AC34" s="24"/>
      <c r="AK34" s="46"/>
      <c r="AL34" s="46"/>
      <c r="AM34" s="46"/>
    </row>
    <row r="35" spans="1:39" ht="16.5" customHeight="1">
      <c r="A35" s="70">
        <v>16</v>
      </c>
      <c r="B35" s="25"/>
      <c r="C35" s="58"/>
      <c r="D35" s="59"/>
      <c r="E35" s="59"/>
      <c r="F35" s="60"/>
      <c r="G35" s="25"/>
      <c r="H35" s="58"/>
      <c r="I35" s="59"/>
      <c r="J35" s="59"/>
      <c r="K35" s="60"/>
      <c r="L35" s="25"/>
      <c r="M35" s="58"/>
      <c r="N35" s="59"/>
      <c r="O35" s="59"/>
      <c r="P35" s="60"/>
      <c r="Q35" s="47" t="str">
        <f>IF(OR(COUNTIF(AD33:AI33,0)&gt;0,COUNTIF(AD35:AF35,0)&gt;0),"",INDEX(AD33:AI33,MATCH(TRUE,ISNA(MATCH(AD33:AI33,AD35:AF35,0)),0)))</f>
        <v/>
      </c>
      <c r="R35" s="52"/>
      <c r="S35" s="64" t="str">
        <f>IF(OR(COUNTIF(AD33:AI33,0)&gt;0,COUNTIF(AD35:AG35,0)&gt;0),"",INDEX(AD33:AI33,MATCH(TRUE,ISNA(MATCH(AD33:AI33,AD35:AG35,0)),0)))</f>
        <v/>
      </c>
      <c r="T35" s="65"/>
      <c r="U35" s="47" t="str">
        <f>IF(OR(COUNTIF(AD33:AI33,0)&gt;0,COUNTIF(AD35:AH35,0)&gt;0),"",INDEX(AD33:AI33,MATCH(TRUE,ISNA(MATCH(AD33:AI33,AD35:AH35,0)),0)))</f>
        <v/>
      </c>
      <c r="V35" s="52"/>
      <c r="W35" s="50"/>
      <c r="X35" s="50"/>
      <c r="Y35" s="47">
        <f>IF(OR(A33="前置OD1",A33="后置OD1"),AK35,IF(OR(A33="前置OD2",A33="后置OD2"),AL35,IF(OR(A33="前置OD3",A33="后置OD3"),AM35,IF(LEFT(A35,2)="后置",Y33+E34+J34+O34+W33,Y33+E34+J34+O34+W33+X33))))</f>
        <v>0</v>
      </c>
      <c r="Z35" s="47">
        <f>IF(Y35&lt;$AJ$4,Y35,$AJ$4)</f>
        <v>0</v>
      </c>
      <c r="AA35" s="47">
        <f>F36+K36+P36</f>
        <v>0</v>
      </c>
      <c r="AB35" s="24"/>
      <c r="AC35" s="24"/>
      <c r="AD35" s="16">
        <f>B35</f>
        <v>0</v>
      </c>
      <c r="AE35" s="16">
        <f>G35</f>
        <v>0</v>
      </c>
      <c r="AF35" s="16">
        <f>L35</f>
        <v>0</v>
      </c>
      <c r="AG35" s="16" t="str">
        <f>Q35</f>
        <v/>
      </c>
      <c r="AH35" s="16" t="str">
        <f>S35</f>
        <v/>
      </c>
      <c r="AI35" s="16" t="str">
        <f>U35</f>
        <v/>
      </c>
      <c r="AK35" s="45">
        <f>Z33-$AJ$4/3+E34+J34+O34+X33</f>
        <v>-100</v>
      </c>
      <c r="AL35" s="45">
        <f>Z33-$AJ$4/3*2+E34+J34+O34+X33</f>
        <v>-200</v>
      </c>
      <c r="AM35" s="45">
        <f>Z33-$AJ$4+E34+J34+O34+X33</f>
        <v>-300</v>
      </c>
    </row>
    <row r="36" spans="1:39" ht="16.5" customHeight="1">
      <c r="A36" s="71"/>
      <c r="B36" s="26" t="e">
        <f>CHOOSE(MATCH(B35,B33:U33,0),B34-C34+D34,0,0,0,0,G34-H34+I34,0,0,0,0,L34-M34+N34,0,0,0,0,Q34+R34,0,S34+T34,0,U34+V34)</f>
        <v>#N/A</v>
      </c>
      <c r="C36" s="17"/>
      <c r="D36" s="17"/>
      <c r="E36" s="20"/>
      <c r="F36" s="27"/>
      <c r="G36" s="26" t="e">
        <f>CHOOSE(MATCH(G35,B33:U33,0),B34-C34+D34,0,0,0,0,G34-H34+I34,0,0,0,0,L34-M34+N34,0,0,0,0,Q34+R34,0,S34+T34,0,U34+V34)</f>
        <v>#N/A</v>
      </c>
      <c r="H36" s="17"/>
      <c r="I36" s="17"/>
      <c r="J36" s="20"/>
      <c r="K36" s="27"/>
      <c r="L36" s="26" t="e">
        <f>CHOOSE(MATCH(L35,B33:U33,0),B34-C34+D34,0,0,0,0,G34-H34+I34,0,0,0,0,L34-M34+N34,0,0,0,0,Q34+R34,0,S34+T34,0,U34+V34)</f>
        <v>#N/A</v>
      </c>
      <c r="M36" s="17"/>
      <c r="N36" s="17"/>
      <c r="O36" s="20"/>
      <c r="P36" s="27"/>
      <c r="Q36" s="18" t="e">
        <f>CHOOSE(MATCH(Q35,B33:U33,0),B34-C34+D34,0,0,0,0,G34-H34+I34,0,0,0,0,L34-M34+N34,0,0,0,0,Q34+R34,0,S34+T34,0,U34+V34)</f>
        <v>#N/A</v>
      </c>
      <c r="R36" s="17"/>
      <c r="S36" s="18" t="e">
        <f>CHOOSE(MATCH(S35,B33:U33,0),B34-C34+D34,0,0,0,0,G34-H34+I34,0,0,0,0,L34-M34+N34,0,0,0,0,Q34+R34,0,S34+T34,0,U34+V34)</f>
        <v>#N/A</v>
      </c>
      <c r="T36" s="17"/>
      <c r="U36" s="18" t="e">
        <f>CHOOSE(MATCH(U35,B33:U33,0),B34-C34+D34,0,0,0,0,G34-H34+I34,0,0,0,0,L34-M34+N34,0,0,0,0,Q34+R34,0,S34+T34,0,U34+V34)</f>
        <v>#N/A</v>
      </c>
      <c r="V36" s="17"/>
      <c r="W36" s="51"/>
      <c r="X36" s="53"/>
      <c r="Y36" s="47"/>
      <c r="Z36" s="49"/>
      <c r="AA36" s="48"/>
      <c r="AB36" s="24"/>
      <c r="AC36" s="24"/>
      <c r="AK36" s="46"/>
      <c r="AL36" s="46"/>
      <c r="AM36" s="46"/>
    </row>
    <row r="37" spans="1:39" ht="16.5" customHeight="1">
      <c r="A37" s="70">
        <v>17</v>
      </c>
      <c r="B37" s="25"/>
      <c r="C37" s="58"/>
      <c r="D37" s="59"/>
      <c r="E37" s="59"/>
      <c r="F37" s="60"/>
      <c r="G37" s="25"/>
      <c r="H37" s="58"/>
      <c r="I37" s="59"/>
      <c r="J37" s="59"/>
      <c r="K37" s="60"/>
      <c r="L37" s="25"/>
      <c r="M37" s="58"/>
      <c r="N37" s="59"/>
      <c r="O37" s="59"/>
      <c r="P37" s="60"/>
      <c r="Q37" s="47" t="str">
        <f>IF(OR(COUNTIF(AD35:AI35,0)&gt;0,COUNTIF(AD37:AF37,0)&gt;0),"",INDEX(AD35:AI35,MATCH(TRUE,ISNA(MATCH(AD35:AI35,AD37:AF37,0)),0)))</f>
        <v/>
      </c>
      <c r="R37" s="52"/>
      <c r="S37" s="64" t="str">
        <f>IF(OR(COUNTIF(AD35:AI35,0)&gt;0,COUNTIF(AD37:AG37,0)&gt;0),"",INDEX(AD35:AI35,MATCH(TRUE,ISNA(MATCH(AD35:AI35,AD37:AG37,0)),0)))</f>
        <v/>
      </c>
      <c r="T37" s="65"/>
      <c r="U37" s="47" t="str">
        <f>IF(OR(COUNTIF(AD35:AI35,0)&gt;0,COUNTIF(AD37:AH37,0)&gt;0),"",INDEX(AD35:AI35,MATCH(TRUE,ISNA(MATCH(AD35:AI35,AD37:AH37,0)),0)))</f>
        <v/>
      </c>
      <c r="V37" s="52"/>
      <c r="W37" s="50"/>
      <c r="X37" s="50"/>
      <c r="Y37" s="47">
        <f>IF(OR(A35="前置OD1",A35="后置OD1"),AK37,IF(OR(A35="前置OD2",A35="后置OD2"),AL37,IF(OR(A35="前置OD3",A35="后置OD3"),AM37,IF(LEFT(A37,2)="后置",Y35+E36+J36+O36+W35,Y35+E36+J36+O36+W35+X35))))</f>
        <v>0</v>
      </c>
      <c r="Z37" s="47">
        <f>IF(Y37&lt;$AJ$4,Y37,$AJ$4)</f>
        <v>0</v>
      </c>
      <c r="AA37" s="47">
        <f>F38+K38+P38</f>
        <v>0</v>
      </c>
      <c r="AB37" s="24"/>
      <c r="AC37" s="24"/>
      <c r="AD37" s="16">
        <f>B37</f>
        <v>0</v>
      </c>
      <c r="AE37" s="16">
        <f>G37</f>
        <v>0</v>
      </c>
      <c r="AF37" s="16">
        <f>L37</f>
        <v>0</v>
      </c>
      <c r="AG37" s="16" t="str">
        <f>Q37</f>
        <v/>
      </c>
      <c r="AH37" s="16" t="str">
        <f>S37</f>
        <v/>
      </c>
      <c r="AI37" s="16" t="str">
        <f>U37</f>
        <v/>
      </c>
      <c r="AK37" s="45">
        <f>Z35-$AJ$4/3+E36+J36+O36+X35</f>
        <v>-100</v>
      </c>
      <c r="AL37" s="45">
        <f>Z35-$AJ$4/3*2+E36+J36+O36+X35</f>
        <v>-200</v>
      </c>
      <c r="AM37" s="45">
        <f>Z35-$AJ$4+E36+J36+O36+X35</f>
        <v>-300</v>
      </c>
    </row>
    <row r="38" spans="1:39" ht="16.5" customHeight="1">
      <c r="A38" s="71"/>
      <c r="B38" s="26" t="e">
        <f>CHOOSE(MATCH(B37,B35:U35,0),B36-C36+D36,0,0,0,0,G36-H36+I36,0,0,0,0,L36-M36+N36,0,0,0,0,Q36+R36,0,S36+T36,0,U36+V36)</f>
        <v>#N/A</v>
      </c>
      <c r="C38" s="17"/>
      <c r="D38" s="17"/>
      <c r="E38" s="20"/>
      <c r="F38" s="27"/>
      <c r="G38" s="26" t="e">
        <f>CHOOSE(MATCH(G37,B35:U35,0),B36-C36+D36,0,0,0,0,G36-H36+I36,0,0,0,0,L36-M36+N36,0,0,0,0,Q36+R36,0,S36+T36,0,U36+V36)</f>
        <v>#N/A</v>
      </c>
      <c r="H38" s="17"/>
      <c r="I38" s="17"/>
      <c r="J38" s="20"/>
      <c r="K38" s="27"/>
      <c r="L38" s="26" t="e">
        <f>CHOOSE(MATCH(L37,B35:U35,0),B36-C36+D36,0,0,0,0,G36-H36+I36,0,0,0,0,L36-M36+N36,0,0,0,0,Q36+R36,0,S36+T36,0,U36+V36)</f>
        <v>#N/A</v>
      </c>
      <c r="M38" s="17"/>
      <c r="N38" s="17"/>
      <c r="O38" s="20"/>
      <c r="P38" s="27"/>
      <c r="Q38" s="18" t="e">
        <f>CHOOSE(MATCH(Q37,B35:U35,0),B36-C36+D36,0,0,0,0,G36-H36+I36,0,0,0,0,L36-M36+N36,0,0,0,0,Q36+R36,0,S36+T36,0,U36+V36)</f>
        <v>#N/A</v>
      </c>
      <c r="R38" s="17"/>
      <c r="S38" s="18" t="e">
        <f>CHOOSE(MATCH(S37,B35:U35,0),B36-C36+D36,0,0,0,0,G36-H36+I36,0,0,0,0,L36-M36+N36,0,0,0,0,Q36+R36,0,S36+T36,0,U36+V36)</f>
        <v>#N/A</v>
      </c>
      <c r="T38" s="17"/>
      <c r="U38" s="18" t="e">
        <f>CHOOSE(MATCH(U37,B35:U35,0),B36-C36+D36,0,0,0,0,G36-H36+I36,0,0,0,0,L36-M36+N36,0,0,0,0,Q36+R36,0,S36+T36,0,U36+V36)</f>
        <v>#N/A</v>
      </c>
      <c r="V38" s="17"/>
      <c r="W38" s="51"/>
      <c r="X38" s="66"/>
      <c r="Y38" s="47"/>
      <c r="Z38" s="49"/>
      <c r="AA38" s="48"/>
      <c r="AB38" s="24"/>
      <c r="AC38" s="24"/>
      <c r="AK38" s="46"/>
      <c r="AL38" s="46"/>
      <c r="AM38" s="46"/>
    </row>
    <row r="39" spans="1:39" ht="16.5" customHeight="1">
      <c r="A39" s="70">
        <v>18</v>
      </c>
      <c r="B39" s="25"/>
      <c r="C39" s="58"/>
      <c r="D39" s="59"/>
      <c r="E39" s="59"/>
      <c r="F39" s="60"/>
      <c r="G39" s="25"/>
      <c r="H39" s="58"/>
      <c r="I39" s="59"/>
      <c r="J39" s="59"/>
      <c r="K39" s="60"/>
      <c r="L39" s="25"/>
      <c r="M39" s="58"/>
      <c r="N39" s="59"/>
      <c r="O39" s="59"/>
      <c r="P39" s="60"/>
      <c r="Q39" s="47" t="str">
        <f>IF(OR(COUNTIF(AD37:AI37,0)&gt;0,COUNTIF(AD39:AF39,0)&gt;0),"",INDEX(AD37:AI37,MATCH(TRUE,ISNA(MATCH(AD37:AI37,AD39:AF39,0)),0)))</f>
        <v/>
      </c>
      <c r="R39" s="52"/>
      <c r="S39" s="64" t="str">
        <f>IF(OR(COUNTIF(AD37:AI37,0)&gt;0,COUNTIF(AD39:AG39,0)&gt;0),"",INDEX(AD37:AI37,MATCH(TRUE,ISNA(MATCH(AD37:AI37,AD39:AG39,0)),0)))</f>
        <v/>
      </c>
      <c r="T39" s="65"/>
      <c r="U39" s="47" t="str">
        <f>IF(OR(COUNTIF(AD37:AI37,0)&gt;0,COUNTIF(AD39:AH39,0)&gt;0),"",INDEX(AD37:AI37,MATCH(TRUE,ISNA(MATCH(AD37:AI37,AD39:AH39,0)),0)))</f>
        <v/>
      </c>
      <c r="V39" s="52"/>
      <c r="W39" s="50"/>
      <c r="X39" s="50"/>
      <c r="Y39" s="47">
        <f>IF(OR(A37="前置OD1",A37="后置OD1"),AK39,IF(OR(A37="前置OD2",A37="后置OD2"),AL39,IF(OR(A37="前置OD3",A37="后置OD3"),AM39,IF(LEFT(A39,2)="后置",Y37+E38+J38+O38+W37,Y37+E38+J38+O38+W37+X37))))</f>
        <v>0</v>
      </c>
      <c r="Z39" s="47">
        <f>IF(Y39&lt;$AJ$4,Y39,$AJ$4)</f>
        <v>0</v>
      </c>
      <c r="AA39" s="47">
        <f>F40+K40+P40</f>
        <v>0</v>
      </c>
      <c r="AB39" s="24"/>
      <c r="AC39" s="24"/>
      <c r="AD39" s="16">
        <f>B39</f>
        <v>0</v>
      </c>
      <c r="AE39" s="16">
        <f>G39</f>
        <v>0</v>
      </c>
      <c r="AF39" s="16">
        <f>L39</f>
        <v>0</v>
      </c>
      <c r="AG39" s="16" t="str">
        <f>Q39</f>
        <v/>
      </c>
      <c r="AH39" s="16" t="str">
        <f>S39</f>
        <v/>
      </c>
      <c r="AI39" s="16" t="str">
        <f>U39</f>
        <v/>
      </c>
      <c r="AK39" s="45">
        <f>Z37-$AJ$4/3+E38+J38+O38+X37</f>
        <v>-100</v>
      </c>
      <c r="AL39" s="45">
        <f>Z37-$AJ$4/3*2+E38+J38+O38+X37</f>
        <v>-200</v>
      </c>
      <c r="AM39" s="45">
        <f>Z37-$AJ$4+E38+J38+O38+X37</f>
        <v>-300</v>
      </c>
    </row>
    <row r="40" spans="1:39" ht="16.5" customHeight="1">
      <c r="A40" s="71"/>
      <c r="B40" s="26" t="e">
        <f>CHOOSE(MATCH(B39,B37:U37,0),B38-C38+D38,0,0,0,0,G38-H38+I38,0,0,0,0,L38-M38+N38,0,0,0,0,Q38+R38,0,S38+T38,0,U38+V38)</f>
        <v>#N/A</v>
      </c>
      <c r="C40" s="17"/>
      <c r="D40" s="17"/>
      <c r="E40" s="20"/>
      <c r="F40" s="27"/>
      <c r="G40" s="26" t="e">
        <f>CHOOSE(MATCH(G39,B37:U37,0),B38-C38+D38,0,0,0,0,G38-H38+I38,0,0,0,0,L38-M38+N38,0,0,0,0,Q38+R38,0,S38+T38,0,U38+V38)</f>
        <v>#N/A</v>
      </c>
      <c r="H40" s="17"/>
      <c r="I40" s="17"/>
      <c r="J40" s="20"/>
      <c r="K40" s="27"/>
      <c r="L40" s="26" t="e">
        <f>CHOOSE(MATCH(L39,B37:U37,0),B38-C38+D38,0,0,0,0,G38-H38+I38,0,0,0,0,L38-M38+N38,0,0,0,0,Q38+R38,0,S38+T38,0,U38+V38)</f>
        <v>#N/A</v>
      </c>
      <c r="M40" s="17"/>
      <c r="N40" s="17"/>
      <c r="O40" s="20"/>
      <c r="P40" s="27"/>
      <c r="Q40" s="18" t="e">
        <f>CHOOSE(MATCH(Q39,B37:U37,0),B38-C38+D38,0,0,0,0,G38-H38+I38,0,0,0,0,L38-M38+N38,0,0,0,0,Q38+R38,0,S38+T38,0,U38+V38)</f>
        <v>#N/A</v>
      </c>
      <c r="R40" s="17"/>
      <c r="S40" s="18" t="e">
        <f>CHOOSE(MATCH(S39,B37:U37,0),B38-C38+D38,0,0,0,0,G38-H38+I38,0,0,0,0,L38-M38+N38,0,0,0,0,Q38+R38,0,S38+T38,0,U38+V38)</f>
        <v>#N/A</v>
      </c>
      <c r="T40" s="17"/>
      <c r="U40" s="18" t="e">
        <f>CHOOSE(MATCH(U39,B37:U37,0),B38-C38+D38,0,0,0,0,G38-H38+I38,0,0,0,0,L38-M38+N38,0,0,0,0,Q38+R38,0,S38+T38,0,U38+V38)</f>
        <v>#N/A</v>
      </c>
      <c r="V40" s="17"/>
      <c r="W40" s="51"/>
      <c r="X40" s="53"/>
      <c r="Y40" s="47"/>
      <c r="Z40" s="49"/>
      <c r="AA40" s="48"/>
      <c r="AB40" s="24"/>
      <c r="AC40" s="24"/>
      <c r="AK40" s="46"/>
      <c r="AL40" s="46"/>
      <c r="AM40" s="46"/>
    </row>
    <row r="41" spans="1:39" ht="16.5" customHeight="1">
      <c r="A41" s="70">
        <v>19</v>
      </c>
      <c r="B41" s="25"/>
      <c r="C41" s="58"/>
      <c r="D41" s="59"/>
      <c r="E41" s="59"/>
      <c r="F41" s="60"/>
      <c r="G41" s="25"/>
      <c r="H41" s="58"/>
      <c r="I41" s="59"/>
      <c r="J41" s="59"/>
      <c r="K41" s="60"/>
      <c r="L41" s="25"/>
      <c r="M41" s="58"/>
      <c r="N41" s="59"/>
      <c r="O41" s="59"/>
      <c r="P41" s="60"/>
      <c r="Q41" s="47" t="str">
        <f>IF(OR(COUNTIF(AD39:AI39,0)&gt;0,COUNTIF(AD41:AF41,0)&gt;0),"",INDEX(AD39:AI39,MATCH(TRUE,ISNA(MATCH(AD39:AI39,AD41:AF41,0)),0)))</f>
        <v/>
      </c>
      <c r="R41" s="52"/>
      <c r="S41" s="64" t="str">
        <f>IF(OR(COUNTIF(AD39:AI39,0)&gt;0,COUNTIF(AD41:AG41,0)&gt;0),"",INDEX(AD39:AI39,MATCH(TRUE,ISNA(MATCH(AD39:AI39,AD41:AG41,0)),0)))</f>
        <v/>
      </c>
      <c r="T41" s="65"/>
      <c r="U41" s="47" t="str">
        <f>IF(OR(COUNTIF(AD39:AI39,0)&gt;0,COUNTIF(AD41:AH41,0)&gt;0),"",INDEX(AD39:AI39,MATCH(TRUE,ISNA(MATCH(AD39:AI39,AD41:AH41,0)),0)))</f>
        <v/>
      </c>
      <c r="V41" s="52"/>
      <c r="W41" s="50"/>
      <c r="X41" s="50"/>
      <c r="Y41" s="47">
        <f>IF(OR(A39="前置OD1",A39="后置OD1"),AK41,IF(OR(A39="前置OD2",A39="后置OD2"),AL41,IF(OR(A39="前置OD3",A39="后置OD3"),AM41,IF(LEFT(A41,2)="后置",Y39+E40+J40+O40+W39,Y39+E40+J40+O40+W39+X39))))</f>
        <v>0</v>
      </c>
      <c r="Z41" s="47">
        <f>IF(Y41&lt;$AJ$4,Y41,$AJ$4)</f>
        <v>0</v>
      </c>
      <c r="AA41" s="47">
        <f>F42+K42+P42</f>
        <v>0</v>
      </c>
      <c r="AB41" s="24"/>
      <c r="AC41" s="24"/>
      <c r="AD41" s="16">
        <f>B41</f>
        <v>0</v>
      </c>
      <c r="AE41" s="16">
        <f>G41</f>
        <v>0</v>
      </c>
      <c r="AF41" s="16">
        <f>L41</f>
        <v>0</v>
      </c>
      <c r="AG41" s="16" t="str">
        <f>Q41</f>
        <v/>
      </c>
      <c r="AH41" s="16" t="str">
        <f>S41</f>
        <v/>
      </c>
      <c r="AI41" s="16" t="str">
        <f>U41</f>
        <v/>
      </c>
      <c r="AK41" s="45">
        <f>Z39-$AJ$4/3+E40+J40+O40+X39</f>
        <v>-100</v>
      </c>
      <c r="AL41" s="45">
        <f>Z39-$AJ$4/3*2+E40+J40+O40+X39</f>
        <v>-200</v>
      </c>
      <c r="AM41" s="45">
        <f>Z39-$AJ$4+E40+J40+O40+X39</f>
        <v>-300</v>
      </c>
    </row>
    <row r="42" spans="1:39" ht="16.5" customHeight="1">
      <c r="A42" s="71"/>
      <c r="B42" s="26" t="e">
        <f>CHOOSE(MATCH(B41,B39:U39,0),B40-C40+D40,0,0,0,0,G40-H40+I40,0,0,0,0,L40-M40+N40,0,0,0,0,Q40+R40,0,S40+T40,0,U40+V40)</f>
        <v>#N/A</v>
      </c>
      <c r="C42" s="17"/>
      <c r="D42" s="17"/>
      <c r="E42" s="20"/>
      <c r="F42" s="27"/>
      <c r="G42" s="26" t="e">
        <f>CHOOSE(MATCH(G41,B39:U39,0),B40-C40+D40,0,0,0,0,G40-H40+I40,0,0,0,0,L40-M40+N40,0,0,0,0,Q40+R40,0,S40+T40,0,U40+V40)</f>
        <v>#N/A</v>
      </c>
      <c r="H42" s="17"/>
      <c r="I42" s="17"/>
      <c r="J42" s="20"/>
      <c r="K42" s="27"/>
      <c r="L42" s="26" t="e">
        <f>CHOOSE(MATCH(L41,B39:U39,0),B40-C40+D40,0,0,0,0,G40-H40+I40,0,0,0,0,L40-M40+N40,0,0,0,0,Q40+R40,0,S40+T40,0,U40+V40)</f>
        <v>#N/A</v>
      </c>
      <c r="M42" s="17"/>
      <c r="N42" s="17"/>
      <c r="O42" s="20"/>
      <c r="P42" s="27"/>
      <c r="Q42" s="18" t="e">
        <f>CHOOSE(MATCH(Q41,B39:U39,0),B40-C40+D40,0,0,0,0,G40-H40+I40,0,0,0,0,L40-M40+N40,0,0,0,0,Q40+R40,0,S40+T40,0,U40+V40)</f>
        <v>#N/A</v>
      </c>
      <c r="R42" s="17"/>
      <c r="S42" s="18" t="e">
        <f>CHOOSE(MATCH(S41,B39:U39,0),B40-C40+D40,0,0,0,0,G40-H40+I40,0,0,0,0,L40-M40+N40,0,0,0,0,Q40+R40,0,S40+T40,0,U40+V40)</f>
        <v>#N/A</v>
      </c>
      <c r="T42" s="17"/>
      <c r="U42" s="18" t="e">
        <f>CHOOSE(MATCH(U41,B39:U39,0),B40-C40+D40,0,0,0,0,G40-H40+I40,0,0,0,0,L40-M40+N40,0,0,0,0,Q40+R40,0,S40+T40,0,U40+V40)</f>
        <v>#N/A</v>
      </c>
      <c r="V42" s="17"/>
      <c r="W42" s="51"/>
      <c r="X42" s="66"/>
      <c r="Y42" s="47"/>
      <c r="Z42" s="49"/>
      <c r="AA42" s="48"/>
      <c r="AB42" s="24"/>
      <c r="AC42" s="24"/>
      <c r="AK42" s="46"/>
      <c r="AL42" s="46"/>
      <c r="AM42" s="46"/>
    </row>
    <row r="43" spans="1:39" ht="16.5" customHeight="1">
      <c r="A43" s="70">
        <v>20</v>
      </c>
      <c r="B43" s="25"/>
      <c r="C43" s="58"/>
      <c r="D43" s="59"/>
      <c r="E43" s="59"/>
      <c r="F43" s="60"/>
      <c r="G43" s="25"/>
      <c r="H43" s="58"/>
      <c r="I43" s="59"/>
      <c r="J43" s="59"/>
      <c r="K43" s="60"/>
      <c r="L43" s="25"/>
      <c r="M43" s="58"/>
      <c r="N43" s="59"/>
      <c r="O43" s="59"/>
      <c r="P43" s="60"/>
      <c r="Q43" s="47" t="str">
        <f>IF(OR(COUNTIF(AD41:AI41,0)&gt;0,COUNTIF(AD43:AF43,0)&gt;0),"",INDEX(AD41:AI41,MATCH(TRUE,ISNA(MATCH(AD41:AI41,AD43:AF43,0)),0)))</f>
        <v/>
      </c>
      <c r="R43" s="52"/>
      <c r="S43" s="64" t="str">
        <f>IF(OR(COUNTIF(AD41:AI41,0)&gt;0,COUNTIF(AD43:AG43,0)&gt;0),"",INDEX(AD41:AI41,MATCH(TRUE,ISNA(MATCH(AD41:AI41,AD43:AG43,0)),0)))</f>
        <v/>
      </c>
      <c r="T43" s="65"/>
      <c r="U43" s="47" t="str">
        <f>IF(OR(COUNTIF(AD41:AI41,0)&gt;0,COUNTIF(AD43:AH43,0)&gt;0),"",INDEX(AD41:AI41,MATCH(TRUE,ISNA(MATCH(AD41:AI41,AD43:AH43,0)),0)))</f>
        <v/>
      </c>
      <c r="V43" s="52"/>
      <c r="W43" s="50"/>
      <c r="X43" s="50"/>
      <c r="Y43" s="47">
        <f>IF(OR(A41="前置OD1",A41="后置OD1"),AK43,IF(OR(A41="前置OD2",A41="后置OD2"),AL43,IF(OR(A41="前置OD3",A41="后置OD3"),AM43,IF(LEFT(A43,2)="后置",Y41+E42+J42+O42+W41,Y41+E42+J42+O42+W41+X41))))</f>
        <v>0</v>
      </c>
      <c r="Z43" s="47">
        <f>IF(Y43&lt;$AJ$4,Y43,$AJ$4)</f>
        <v>0</v>
      </c>
      <c r="AA43" s="47">
        <f>F44+K44+P44</f>
        <v>0</v>
      </c>
      <c r="AB43" s="24"/>
      <c r="AC43" s="24"/>
      <c r="AD43" s="16">
        <f>B43</f>
        <v>0</v>
      </c>
      <c r="AE43" s="16">
        <f>G43</f>
        <v>0</v>
      </c>
      <c r="AF43" s="16">
        <f>L43</f>
        <v>0</v>
      </c>
      <c r="AG43" s="16" t="str">
        <f>Q43</f>
        <v/>
      </c>
      <c r="AH43" s="16" t="str">
        <f>S43</f>
        <v/>
      </c>
      <c r="AI43" s="16" t="str">
        <f>U43</f>
        <v/>
      </c>
      <c r="AK43" s="45">
        <f>Z41-$AJ$4/3+E42+J42+O42+X41</f>
        <v>-100</v>
      </c>
      <c r="AL43" s="45">
        <f>Z41-$AJ$4/3*2+E42+J42+O42+X41</f>
        <v>-200</v>
      </c>
      <c r="AM43" s="45">
        <f>Z41-$AJ$4+E42+J42+O42+X41</f>
        <v>-300</v>
      </c>
    </row>
    <row r="44" spans="1:39" ht="16.5" customHeight="1">
      <c r="A44" s="71"/>
      <c r="B44" s="26" t="e">
        <f>CHOOSE(MATCH(B43,B41:U41,0),B42-C42+D42,0,0,0,0,G42-H42+I42,0,0,0,0,L42-M42+N42,0,0,0,0,Q42+R42,0,S42+T42,0,U42+V42)</f>
        <v>#N/A</v>
      </c>
      <c r="C44" s="17"/>
      <c r="D44" s="17"/>
      <c r="E44" s="20"/>
      <c r="F44" s="27"/>
      <c r="G44" s="26" t="e">
        <f>CHOOSE(MATCH(G43,B41:U41,0),B42-C42+D42,0,0,0,0,G42-H42+I42,0,0,0,0,L42-M42+N42,0,0,0,0,Q42+R42,0,S42+T42,0,U42+V42)</f>
        <v>#N/A</v>
      </c>
      <c r="H44" s="17"/>
      <c r="I44" s="17"/>
      <c r="J44" s="20"/>
      <c r="K44" s="27"/>
      <c r="L44" s="26" t="e">
        <f>CHOOSE(MATCH(L43,B41:U41,0),B42-C42+D42,0,0,0,0,G42-H42+I42,0,0,0,0,L42-M42+N42,0,0,0,0,Q42+R42,0,S42+T42,0,U42+V42)</f>
        <v>#N/A</v>
      </c>
      <c r="M44" s="17"/>
      <c r="N44" s="17"/>
      <c r="O44" s="20"/>
      <c r="P44" s="27"/>
      <c r="Q44" s="18" t="e">
        <f>CHOOSE(MATCH(Q43,B41:U41,0),B42-C42+D42,0,0,0,0,G42-H42+I42,0,0,0,0,L42-M42+N42,0,0,0,0,Q42+R42,0,S42+T42,0,U42+V42)</f>
        <v>#N/A</v>
      </c>
      <c r="R44" s="17"/>
      <c r="S44" s="18" t="e">
        <f>CHOOSE(MATCH(S43,B41:U41,0),B42-C42+D42,0,0,0,0,G42-H42+I42,0,0,0,0,L42-M42+N42,0,0,0,0,Q42+R42,0,S42+T42,0,U42+V42)</f>
        <v>#N/A</v>
      </c>
      <c r="T44" s="17"/>
      <c r="U44" s="18" t="e">
        <f>CHOOSE(MATCH(U43,B41:U41,0),B42-C42+D42,0,0,0,0,G42-H42+I42,0,0,0,0,L42-M42+N42,0,0,0,0,Q42+R42,0,S42+T42,0,U42+V42)</f>
        <v>#N/A</v>
      </c>
      <c r="V44" s="17"/>
      <c r="W44" s="51"/>
      <c r="X44" s="53"/>
      <c r="Y44" s="47"/>
      <c r="Z44" s="49"/>
      <c r="AA44" s="48"/>
      <c r="AB44" s="24"/>
      <c r="AC44" s="24"/>
      <c r="AK44" s="46"/>
      <c r="AL44" s="46"/>
      <c r="AM44" s="46"/>
    </row>
    <row r="45" spans="1:39" ht="16.5" customHeight="1">
      <c r="B45" s="42"/>
      <c r="C45" s="43"/>
      <c r="D45" s="43"/>
      <c r="E45" s="43"/>
      <c r="F45" s="43"/>
      <c r="G45" s="43"/>
      <c r="H45" s="44"/>
      <c r="AD45" s="16">
        <f>B45</f>
        <v>0</v>
      </c>
      <c r="AE45" s="16">
        <f>G45</f>
        <v>0</v>
      </c>
      <c r="AF45" s="16">
        <f>L45</f>
        <v>0</v>
      </c>
      <c r="AG45" s="16">
        <f>Q45</f>
        <v>0</v>
      </c>
      <c r="AH45" s="16">
        <f>S45</f>
        <v>0</v>
      </c>
      <c r="AI45" s="16">
        <f>U45</f>
        <v>0</v>
      </c>
      <c r="AK45" s="45">
        <f>Z43-$AJ$4/3+E44+J44+O44+X43</f>
        <v>-100</v>
      </c>
      <c r="AL45" s="45">
        <f>Z43-$AJ$4/3*2+E44+J44+O44+X43</f>
        <v>-200</v>
      </c>
      <c r="AM45" s="45">
        <f>Z43-$AJ$4+E44+J44+O44+X43</f>
        <v>-300</v>
      </c>
    </row>
    <row r="46" spans="1:39" ht="16.5" customHeight="1">
      <c r="B46" s="5"/>
      <c r="C46" s="6"/>
      <c r="D46" s="7"/>
      <c r="E46" s="7"/>
      <c r="F46" s="3"/>
      <c r="G46" s="3"/>
      <c r="H46" s="8"/>
      <c r="AK46" s="46"/>
      <c r="AL46" s="46"/>
      <c r="AM46" s="46"/>
    </row>
    <row r="47" spans="1:39" ht="16.5" customHeight="1">
      <c r="B47" s="9"/>
      <c r="C47" s="10"/>
      <c r="D47" s="10"/>
      <c r="E47" s="10"/>
      <c r="F47" s="1"/>
      <c r="G47" s="1"/>
      <c r="H47" s="4"/>
      <c r="AD47" s="16">
        <f>B47</f>
        <v>0</v>
      </c>
      <c r="AE47" s="16">
        <f>G47</f>
        <v>0</v>
      </c>
      <c r="AF47" s="16">
        <f>L47</f>
        <v>0</v>
      </c>
      <c r="AG47" s="16">
        <f>Q47</f>
        <v>0</v>
      </c>
      <c r="AH47" s="16">
        <f>S47</f>
        <v>0</v>
      </c>
      <c r="AI47" s="16">
        <f>U47</f>
        <v>0</v>
      </c>
      <c r="AK47" s="45">
        <f>Z45-$AJ$4/3+E46+J46+O46+X45</f>
        <v>-100</v>
      </c>
      <c r="AL47" s="45">
        <f>Z45-$AJ$4/3*2+E46+J46+O46+X45</f>
        <v>-200</v>
      </c>
      <c r="AM47" s="45">
        <f>Z45-$AJ$4+E46+J46+O46+X45</f>
        <v>-300</v>
      </c>
    </row>
    <row r="48" spans="1:39" ht="16.5" customHeight="1">
      <c r="B48" s="9"/>
      <c r="C48" s="10"/>
      <c r="D48" s="10"/>
      <c r="E48" s="10"/>
      <c r="F48" s="1"/>
      <c r="G48" s="1"/>
      <c r="H48" s="4"/>
      <c r="AK48" s="46"/>
      <c r="AL48" s="46"/>
      <c r="AM48" s="46"/>
    </row>
    <row r="49" spans="2:39" ht="16.5" customHeight="1">
      <c r="B49" s="9"/>
      <c r="C49" s="10"/>
      <c r="D49" s="10"/>
      <c r="E49" s="10"/>
      <c r="F49" s="1"/>
      <c r="G49" s="1"/>
      <c r="H49" s="4"/>
      <c r="AD49" s="16">
        <f>B49</f>
        <v>0</v>
      </c>
      <c r="AE49" s="16">
        <f>G49</f>
        <v>0</v>
      </c>
      <c r="AF49" s="16">
        <f>L49</f>
        <v>0</v>
      </c>
      <c r="AG49" s="16">
        <f>Q49</f>
        <v>0</v>
      </c>
      <c r="AH49" s="16">
        <f>S49</f>
        <v>0</v>
      </c>
      <c r="AI49" s="16">
        <f>U49</f>
        <v>0</v>
      </c>
      <c r="AK49" s="45">
        <f>Z47-$AJ$4/3+E48+J48+O48+X47</f>
        <v>-100</v>
      </c>
      <c r="AL49" s="45">
        <f>Z47-$AJ$4/3*2+E48+J48+O48+X47</f>
        <v>-200</v>
      </c>
      <c r="AM49" s="45">
        <f>Z47-$AJ$4+E48+J48+O48+X47</f>
        <v>-300</v>
      </c>
    </row>
    <row r="50" spans="2:39" ht="16.5" customHeight="1">
      <c r="B50" s="11"/>
      <c r="C50" s="12"/>
      <c r="D50" s="12"/>
      <c r="E50" s="12"/>
      <c r="F50" s="1"/>
      <c r="G50" s="2"/>
      <c r="H50" s="13"/>
      <c r="AK50" s="46"/>
      <c r="AL50" s="46"/>
      <c r="AM50" s="46"/>
    </row>
    <row r="51" spans="2:39" ht="16.5" customHeight="1">
      <c r="AD51" s="16">
        <f>B51</f>
        <v>0</v>
      </c>
      <c r="AE51" s="16">
        <f>G51</f>
        <v>0</v>
      </c>
      <c r="AF51" s="16">
        <f>L51</f>
        <v>0</v>
      </c>
      <c r="AG51" s="16">
        <f>Q51</f>
        <v>0</v>
      </c>
      <c r="AH51" s="16">
        <f>S51</f>
        <v>0</v>
      </c>
      <c r="AI51" s="16">
        <f>U51</f>
        <v>0</v>
      </c>
      <c r="AK51" s="45">
        <f>Z49-$AJ$4/3+E50+J50+O50+X49</f>
        <v>-100</v>
      </c>
      <c r="AL51" s="45">
        <f>Z49-$AJ$4/3*2+E50+J50+O50+X49</f>
        <v>-200</v>
      </c>
      <c r="AM51" s="45">
        <f>Z49-$AJ$4+E50+J50+O50+X49</f>
        <v>-300</v>
      </c>
    </row>
    <row r="52" spans="2:39" ht="16.5" customHeight="1">
      <c r="AK52" s="46"/>
      <c r="AL52" s="46"/>
      <c r="AM52" s="46"/>
    </row>
    <row r="53" spans="2:39" ht="16.5" customHeight="1">
      <c r="AD53" s="16">
        <f>B53</f>
        <v>0</v>
      </c>
      <c r="AE53" s="16">
        <f>G53</f>
        <v>0</v>
      </c>
      <c r="AF53" s="16">
        <f>L53</f>
        <v>0</v>
      </c>
      <c r="AG53" s="16">
        <f>Q53</f>
        <v>0</v>
      </c>
      <c r="AH53" s="16">
        <f>S53</f>
        <v>0</v>
      </c>
      <c r="AI53" s="16">
        <f>U53</f>
        <v>0</v>
      </c>
      <c r="AK53" s="45">
        <f>Z51-$AJ$4/3+E52+J52+O52+X51</f>
        <v>-100</v>
      </c>
      <c r="AL53" s="45">
        <f>Z51-$AJ$4/3*2+E52+J52+O52+X51</f>
        <v>-200</v>
      </c>
      <c r="AM53" s="45">
        <f>Z51-$AJ$4+E52+J52+O52+X51</f>
        <v>-300</v>
      </c>
    </row>
    <row r="54" spans="2:39" ht="16.5" customHeight="1">
      <c r="AK54" s="46"/>
      <c r="AL54" s="46"/>
      <c r="AM54" s="46"/>
    </row>
    <row r="55" spans="2:39" ht="16.5" customHeight="1">
      <c r="AD55" s="16">
        <f>B55</f>
        <v>0</v>
      </c>
      <c r="AE55" s="16">
        <f>G55</f>
        <v>0</v>
      </c>
      <c r="AF55" s="16">
        <f>L55</f>
        <v>0</v>
      </c>
      <c r="AG55" s="16">
        <f>Q55</f>
        <v>0</v>
      </c>
      <c r="AH55" s="16">
        <f>S55</f>
        <v>0</v>
      </c>
      <c r="AI55" s="16">
        <f>U55</f>
        <v>0</v>
      </c>
      <c r="AK55" s="45">
        <f>Z53-$AJ$4/3+E54+J54+O54+X53</f>
        <v>-100</v>
      </c>
      <c r="AL55" s="45">
        <f>Z53-$AJ$4/3*2+E54+J54+O54+X53</f>
        <v>-200</v>
      </c>
      <c r="AM55" s="45">
        <f>Z53-$AJ$4+E54+J54+O54+X53</f>
        <v>-300</v>
      </c>
    </row>
    <row r="56" spans="2:39" ht="16.5" customHeight="1">
      <c r="AK56" s="46"/>
      <c r="AL56" s="46"/>
      <c r="AM56" s="46"/>
    </row>
    <row r="57" spans="2:39" ht="16.5" customHeight="1">
      <c r="AD57" s="16">
        <f>B57</f>
        <v>0</v>
      </c>
      <c r="AE57" s="16">
        <f>G57</f>
        <v>0</v>
      </c>
      <c r="AF57" s="16">
        <f>L57</f>
        <v>0</v>
      </c>
      <c r="AG57" s="16">
        <f>Q57</f>
        <v>0</v>
      </c>
      <c r="AH57" s="16">
        <f>S57</f>
        <v>0</v>
      </c>
      <c r="AI57" s="16">
        <f>U57</f>
        <v>0</v>
      </c>
      <c r="AK57" s="45">
        <f>Z55-$AJ$4/3+E56+J56+O56+X55</f>
        <v>-100</v>
      </c>
      <c r="AL57" s="45">
        <f>Z55-$AJ$4/3*2+E56+J56+O56+X55</f>
        <v>-200</v>
      </c>
      <c r="AM57" s="45">
        <f>Z55-$AJ$4+E56+J56+O56+X55</f>
        <v>-300</v>
      </c>
    </row>
    <row r="58" spans="2:39" ht="16.5" customHeight="1">
      <c r="AK58" s="46"/>
      <c r="AL58" s="46"/>
      <c r="AM58" s="46"/>
    </row>
    <row r="59" spans="2:39" ht="16.5" customHeight="1">
      <c r="AD59" s="16">
        <f>B59</f>
        <v>0</v>
      </c>
      <c r="AE59" s="16">
        <f>G59</f>
        <v>0</v>
      </c>
      <c r="AF59" s="16">
        <f>L59</f>
        <v>0</v>
      </c>
      <c r="AG59" s="16">
        <f>Q59</f>
        <v>0</v>
      </c>
      <c r="AH59" s="16">
        <f>S59</f>
        <v>0</v>
      </c>
      <c r="AI59" s="16">
        <f>U59</f>
        <v>0</v>
      </c>
      <c r="AK59" s="45">
        <f>Z57-$AJ$4/3+E58+J58+O58+X57</f>
        <v>-100</v>
      </c>
      <c r="AL59" s="45">
        <f>Z57-$AJ$4/3*2+E58+J58+O58+X57</f>
        <v>-200</v>
      </c>
      <c r="AM59" s="45">
        <f>Z57-$AJ$4+E58+J58+O58+X57</f>
        <v>-300</v>
      </c>
    </row>
    <row r="60" spans="2:39" ht="16.5" customHeight="1">
      <c r="AK60" s="46"/>
      <c r="AL60" s="46"/>
      <c r="AM60" s="46"/>
    </row>
    <row r="61" spans="2:39" ht="16.5" customHeight="1">
      <c r="AD61" s="16">
        <f>B61</f>
        <v>0</v>
      </c>
      <c r="AE61" s="16">
        <f>G61</f>
        <v>0</v>
      </c>
      <c r="AF61" s="16">
        <f>L61</f>
        <v>0</v>
      </c>
      <c r="AG61" s="16">
        <f>Q61</f>
        <v>0</v>
      </c>
      <c r="AH61" s="16">
        <f>S61</f>
        <v>0</v>
      </c>
      <c r="AI61" s="16">
        <f>U61</f>
        <v>0</v>
      </c>
      <c r="AK61" s="45">
        <f>Z59-$AJ$4/3+E60+J60+O60+X59</f>
        <v>-100</v>
      </c>
      <c r="AL61" s="45">
        <f>Z59-$AJ$4/3*2+E60+J60+O60+X59</f>
        <v>-200</v>
      </c>
      <c r="AM61" s="45">
        <f>Z59-$AJ$4+E60+J60+O60+X59</f>
        <v>-300</v>
      </c>
    </row>
    <row r="62" spans="2:39" ht="16.5" customHeight="1">
      <c r="AK62" s="46"/>
      <c r="AL62" s="46"/>
      <c r="AM62" s="46"/>
    </row>
    <row r="63" spans="2:39" ht="16.5" customHeight="1">
      <c r="AD63" s="16">
        <f>B63</f>
        <v>0</v>
      </c>
      <c r="AE63" s="16">
        <f>G63</f>
        <v>0</v>
      </c>
      <c r="AF63" s="16">
        <f>L63</f>
        <v>0</v>
      </c>
      <c r="AG63" s="16">
        <f>Q63</f>
        <v>0</v>
      </c>
      <c r="AH63" s="16">
        <f>S63</f>
        <v>0</v>
      </c>
      <c r="AI63" s="16">
        <f>U63</f>
        <v>0</v>
      </c>
      <c r="AK63" s="45">
        <f>Z61-$AJ$4/3+E62+J62+O62+X61</f>
        <v>-100</v>
      </c>
      <c r="AL63" s="45">
        <f>Z61-$AJ$4/3*2+E62+J62+O62+X61</f>
        <v>-200</v>
      </c>
      <c r="AM63" s="45">
        <f>Z61-$AJ$4+E62+J62+O62+X61</f>
        <v>-300</v>
      </c>
    </row>
    <row r="64" spans="2:39" ht="16.5" customHeight="1">
      <c r="AK64" s="46"/>
      <c r="AL64" s="46"/>
      <c r="AM64" s="46"/>
    </row>
    <row r="65" spans="30:39" ht="16.5" customHeight="1">
      <c r="AD65" s="16">
        <f>B65</f>
        <v>0</v>
      </c>
      <c r="AE65" s="16">
        <f>G65</f>
        <v>0</v>
      </c>
      <c r="AF65" s="16">
        <f>L65</f>
        <v>0</v>
      </c>
      <c r="AG65" s="16">
        <f>Q65</f>
        <v>0</v>
      </c>
      <c r="AH65" s="16">
        <f>S65</f>
        <v>0</v>
      </c>
      <c r="AI65" s="16">
        <f>U65</f>
        <v>0</v>
      </c>
      <c r="AK65" s="45">
        <f>Z63-$AJ$4/3+E64+J64+O64+X63</f>
        <v>-100</v>
      </c>
      <c r="AL65" s="45">
        <f>Z63-$AJ$4/3*2+E64+J64+O64+X63</f>
        <v>-200</v>
      </c>
      <c r="AM65" s="45">
        <f>Z63-$AJ$4+E64+J64+O64+X63</f>
        <v>-300</v>
      </c>
    </row>
    <row r="66" spans="30:39" ht="16.5" customHeight="1">
      <c r="AK66" s="46"/>
      <c r="AL66" s="46"/>
      <c r="AM66" s="46"/>
    </row>
    <row r="67" spans="30:39" ht="16.5" customHeight="1">
      <c r="AD67" s="16">
        <f>B67</f>
        <v>0</v>
      </c>
      <c r="AE67" s="16">
        <f>G67</f>
        <v>0</v>
      </c>
      <c r="AF67" s="16">
        <f>L67</f>
        <v>0</v>
      </c>
      <c r="AG67" s="16">
        <f>Q67</f>
        <v>0</v>
      </c>
      <c r="AH67" s="16">
        <f>S67</f>
        <v>0</v>
      </c>
      <c r="AI67" s="16">
        <f>U67</f>
        <v>0</v>
      </c>
      <c r="AK67" s="45">
        <f>Z65-$AJ$4/3+E66+J66+O66+X65</f>
        <v>-100</v>
      </c>
      <c r="AL67" s="45">
        <f>Z65-$AJ$4/3*2+E66+J66+O66+X65</f>
        <v>-200</v>
      </c>
      <c r="AM67" s="45">
        <f>Z65-$AJ$4+E66+J66+O66+X65</f>
        <v>-300</v>
      </c>
    </row>
    <row r="68" spans="30:39" ht="16.5" customHeight="1">
      <c r="AK68" s="46"/>
      <c r="AL68" s="46"/>
      <c r="AM68" s="46"/>
    </row>
    <row r="69" spans="30:39" ht="16.5" customHeight="1">
      <c r="AD69" s="28">
        <f>B69</f>
        <v>0</v>
      </c>
      <c r="AE69" s="28">
        <f>G69</f>
        <v>0</v>
      </c>
      <c r="AF69" s="28">
        <f>L69</f>
        <v>0</v>
      </c>
      <c r="AG69" s="28">
        <f>Q69</f>
        <v>0</v>
      </c>
      <c r="AH69" s="28">
        <f>S69</f>
        <v>0</v>
      </c>
      <c r="AI69" s="28">
        <f>U69</f>
        <v>0</v>
      </c>
      <c r="AJ69" s="28"/>
      <c r="AK69" s="45">
        <f>Z67-$AJ$4/3+E68+J68+O68+X67</f>
        <v>-100</v>
      </c>
      <c r="AL69" s="45">
        <f>Z67-$AJ$4/3*2+E68+J68+O68+X67</f>
        <v>-200</v>
      </c>
      <c r="AM69" s="45">
        <f>Z67-$AJ$4+E68+J68+O68+X67</f>
        <v>-300</v>
      </c>
    </row>
    <row r="70" spans="30:39" ht="16.5" customHeight="1">
      <c r="AK70" s="46"/>
      <c r="AL70" s="46"/>
      <c r="AM70" s="46"/>
    </row>
    <row r="71" spans="30:39" ht="16.5" customHeight="1">
      <c r="AD71" s="28">
        <f>B71</f>
        <v>0</v>
      </c>
      <c r="AE71" s="28">
        <f>G71</f>
        <v>0</v>
      </c>
      <c r="AF71" s="28">
        <f>L71</f>
        <v>0</v>
      </c>
      <c r="AG71" s="28">
        <f>Q71</f>
        <v>0</v>
      </c>
      <c r="AH71" s="28">
        <f>S71</f>
        <v>0</v>
      </c>
      <c r="AI71" s="28">
        <f>U71</f>
        <v>0</v>
      </c>
      <c r="AJ71" s="28"/>
      <c r="AK71" s="45">
        <f>Z69-$AJ$4/3+E70+J70+O70+X69</f>
        <v>-100</v>
      </c>
      <c r="AL71" s="45">
        <f>Z69-$AJ$4/3*2+E70+J70+O70+X69</f>
        <v>-200</v>
      </c>
      <c r="AM71" s="45">
        <f>Z69-$AJ$4+E70+J70+O70+X69</f>
        <v>-300</v>
      </c>
    </row>
    <row r="72" spans="30:39" ht="16.5" customHeight="1">
      <c r="AK72" s="46"/>
      <c r="AL72" s="46"/>
      <c r="AM72" s="46"/>
    </row>
    <row r="73" spans="30:39" ht="16.5" customHeight="1">
      <c r="AD73" s="28">
        <f>B73</f>
        <v>0</v>
      </c>
      <c r="AE73" s="28">
        <f>G73</f>
        <v>0</v>
      </c>
      <c r="AF73" s="28">
        <f>L73</f>
        <v>0</v>
      </c>
      <c r="AG73" s="28">
        <f>Q73</f>
        <v>0</v>
      </c>
      <c r="AH73" s="28">
        <f>S73</f>
        <v>0</v>
      </c>
      <c r="AI73" s="28">
        <f>U73</f>
        <v>0</v>
      </c>
      <c r="AJ73" s="28"/>
      <c r="AK73" s="45">
        <f>Z71-$AJ$4/3+E72+J72+O72+X71</f>
        <v>-100</v>
      </c>
      <c r="AL73" s="45">
        <f>Z71-$AJ$4/3*2+E72+J72+O72+X71</f>
        <v>-200</v>
      </c>
      <c r="AM73" s="45">
        <f>Z71-$AJ$4+E72+J72+O72+X71</f>
        <v>-300</v>
      </c>
    </row>
    <row r="74" spans="30:39" ht="16.5" customHeight="1">
      <c r="AK74" s="46"/>
      <c r="AL74" s="46"/>
      <c r="AM74" s="46"/>
    </row>
    <row r="75" spans="30:39" ht="16.5" customHeight="1">
      <c r="AD75" s="28">
        <f>B75</f>
        <v>0</v>
      </c>
      <c r="AE75" s="28">
        <f>G75</f>
        <v>0</v>
      </c>
      <c r="AF75" s="28">
        <f>L75</f>
        <v>0</v>
      </c>
      <c r="AG75" s="28">
        <f>Q75</f>
        <v>0</v>
      </c>
      <c r="AH75" s="28">
        <f>S75</f>
        <v>0</v>
      </c>
      <c r="AI75" s="28">
        <f>U75</f>
        <v>0</v>
      </c>
      <c r="AJ75" s="28"/>
      <c r="AK75" s="45">
        <f>Z73-$AJ$4/3+E74+J74+O74+X73</f>
        <v>-100</v>
      </c>
      <c r="AL75" s="45">
        <f>Z73-$AJ$4/3*2+E74+J74+O74+X73</f>
        <v>-200</v>
      </c>
      <c r="AM75" s="45">
        <f>Z73-$AJ$4+E74+J74+O74+X73</f>
        <v>-300</v>
      </c>
    </row>
    <row r="76" spans="30:39" ht="16.5" customHeight="1">
      <c r="AK76" s="46"/>
      <c r="AL76" s="46"/>
      <c r="AM76" s="46"/>
    </row>
    <row r="77" spans="30:39" ht="16.5" customHeight="1">
      <c r="AD77" s="28">
        <f>B77</f>
        <v>0</v>
      </c>
      <c r="AE77" s="28">
        <f>G77</f>
        <v>0</v>
      </c>
      <c r="AF77" s="28">
        <f>L77</f>
        <v>0</v>
      </c>
      <c r="AG77" s="28">
        <f>Q77</f>
        <v>0</v>
      </c>
      <c r="AH77" s="28">
        <f>S77</f>
        <v>0</v>
      </c>
      <c r="AI77" s="28">
        <f>U77</f>
        <v>0</v>
      </c>
      <c r="AJ77" s="28"/>
      <c r="AK77" s="45">
        <f>Z75-$AJ$4/3+E76+J76+O76+X75</f>
        <v>-100</v>
      </c>
      <c r="AL77" s="45">
        <f>Z75-$AJ$4/3*2+E76+J76+O76+X75</f>
        <v>-200</v>
      </c>
      <c r="AM77" s="45">
        <f>Z75-$AJ$4+E76+J76+O76+X75</f>
        <v>-300</v>
      </c>
    </row>
    <row r="78" spans="30:39" ht="16.5" customHeight="1">
      <c r="AK78" s="46"/>
      <c r="AL78" s="46"/>
      <c r="AM78" s="46"/>
    </row>
    <row r="79" spans="30:39" ht="16.5" customHeight="1">
      <c r="AD79" s="28">
        <f>B79</f>
        <v>0</v>
      </c>
      <c r="AE79" s="28">
        <f>G79</f>
        <v>0</v>
      </c>
      <c r="AF79" s="28">
        <f>L79</f>
        <v>0</v>
      </c>
      <c r="AG79" s="28">
        <f>Q79</f>
        <v>0</v>
      </c>
      <c r="AH79" s="28">
        <f>S79</f>
        <v>0</v>
      </c>
      <c r="AI79" s="28">
        <f>U79</f>
        <v>0</v>
      </c>
      <c r="AJ79" s="28"/>
      <c r="AK79" s="45">
        <f>Z77-$AJ$4/3+E78+J78+O78+X77</f>
        <v>-100</v>
      </c>
      <c r="AL79" s="45">
        <f>Z77-$AJ$4/3*2+E78+J78+O78+X77</f>
        <v>-200</v>
      </c>
      <c r="AM79" s="45">
        <f>Z77-$AJ$4+E78+J78+O78+X77</f>
        <v>-300</v>
      </c>
    </row>
    <row r="80" spans="30:39" ht="16.5" customHeight="1">
      <c r="AK80" s="46"/>
      <c r="AL80" s="46"/>
      <c r="AM80" s="46"/>
    </row>
    <row r="81" spans="30:39" ht="16.5" customHeight="1">
      <c r="AD81" s="28">
        <f>B81</f>
        <v>0</v>
      </c>
      <c r="AE81" s="28">
        <f>G81</f>
        <v>0</v>
      </c>
      <c r="AF81" s="28">
        <f>L81</f>
        <v>0</v>
      </c>
      <c r="AG81" s="28">
        <f>Q81</f>
        <v>0</v>
      </c>
      <c r="AH81" s="28">
        <f>S81</f>
        <v>0</v>
      </c>
      <c r="AI81" s="28">
        <f>U81</f>
        <v>0</v>
      </c>
      <c r="AJ81" s="28"/>
      <c r="AK81" s="45">
        <f>Z79-$AJ$4/3+E80+J80+O80+X79</f>
        <v>-100</v>
      </c>
      <c r="AL81" s="45">
        <f>Z79-$AJ$4/3*2+E80+J80+O80+X79</f>
        <v>-200</v>
      </c>
      <c r="AM81" s="45">
        <f>Z79-$AJ$4+E80+J80+O80+X79</f>
        <v>-300</v>
      </c>
    </row>
    <row r="82" spans="30:39" ht="16.5" customHeight="1">
      <c r="AK82" s="46"/>
      <c r="AL82" s="46"/>
      <c r="AM82" s="46"/>
    </row>
    <row r="83" spans="30:39" ht="16.5" customHeight="1">
      <c r="AD83" s="28">
        <f>B83</f>
        <v>0</v>
      </c>
      <c r="AE83" s="28">
        <f>G83</f>
        <v>0</v>
      </c>
      <c r="AF83" s="28">
        <f>L83</f>
        <v>0</v>
      </c>
      <c r="AG83" s="28">
        <f>Q83</f>
        <v>0</v>
      </c>
      <c r="AH83" s="28">
        <f>S83</f>
        <v>0</v>
      </c>
      <c r="AI83" s="28">
        <f>U83</f>
        <v>0</v>
      </c>
      <c r="AJ83" s="28"/>
      <c r="AK83" s="45">
        <f>Z81-$AJ$4/3+E82+J82+O82+X81</f>
        <v>-100</v>
      </c>
      <c r="AL83" s="45">
        <f>Z81-$AJ$4/3*2+E82+J82+O82+X81</f>
        <v>-200</v>
      </c>
      <c r="AM83" s="45">
        <f>Z81-$AJ$4+E82+J82+O82+X81</f>
        <v>-300</v>
      </c>
    </row>
    <row r="84" spans="30:39" ht="16.5" customHeight="1">
      <c r="AK84" s="46"/>
      <c r="AL84" s="46"/>
      <c r="AM84" s="46"/>
    </row>
    <row r="85" spans="30:39" ht="16.5" customHeight="1">
      <c r="AD85" s="28">
        <f>B85</f>
        <v>0</v>
      </c>
      <c r="AE85" s="28">
        <f>G85</f>
        <v>0</v>
      </c>
      <c r="AF85" s="28">
        <f>L85</f>
        <v>0</v>
      </c>
      <c r="AG85" s="28">
        <f>Q85</f>
        <v>0</v>
      </c>
      <c r="AH85" s="28">
        <f>S85</f>
        <v>0</v>
      </c>
      <c r="AI85" s="28">
        <f>U85</f>
        <v>0</v>
      </c>
      <c r="AJ85" s="28"/>
      <c r="AK85" s="45">
        <f>Z83-$AJ$4/3+E84+J84+O84+X83</f>
        <v>-100</v>
      </c>
      <c r="AL85" s="45">
        <f>Z83-$AJ$4/3*2+E84+J84+O84+X83</f>
        <v>-200</v>
      </c>
      <c r="AM85" s="45">
        <f>Z83-$AJ$4+E84+J84+O84+X83</f>
        <v>-300</v>
      </c>
    </row>
    <row r="86" spans="30:39" ht="16.5" customHeight="1">
      <c r="AK86" s="46"/>
      <c r="AL86" s="46"/>
      <c r="AM86" s="46"/>
    </row>
    <row r="87" spans="30:39" ht="16.5" customHeight="1">
      <c r="AD87" s="28">
        <f>B87</f>
        <v>0</v>
      </c>
      <c r="AE87" s="28">
        <f>G87</f>
        <v>0</v>
      </c>
      <c r="AF87" s="28">
        <f>L87</f>
        <v>0</v>
      </c>
      <c r="AG87" s="28">
        <f>Q87</f>
        <v>0</v>
      </c>
      <c r="AH87" s="28">
        <f>S87</f>
        <v>0</v>
      </c>
      <c r="AI87" s="28">
        <f>U87</f>
        <v>0</v>
      </c>
      <c r="AJ87" s="28"/>
      <c r="AK87" s="45">
        <f>Z85-$AJ$4/3+E86+J86+O86+X85</f>
        <v>-100</v>
      </c>
      <c r="AL87" s="45">
        <f>Z85-$AJ$4/3*2+E86+J86+O86+X85</f>
        <v>-200</v>
      </c>
      <c r="AM87" s="45">
        <f>Z85-$AJ$4+E86+J86+O86+X85</f>
        <v>-300</v>
      </c>
    </row>
    <row r="88" spans="30:39" ht="16.5" customHeight="1">
      <c r="AK88" s="46"/>
      <c r="AL88" s="46"/>
      <c r="AM88" s="46"/>
    </row>
    <row r="89" spans="30:39" ht="16.5" customHeight="1">
      <c r="AD89" s="28">
        <f>B89</f>
        <v>0</v>
      </c>
      <c r="AE89" s="28">
        <f>G89</f>
        <v>0</v>
      </c>
      <c r="AF89" s="28">
        <f>L89</f>
        <v>0</v>
      </c>
      <c r="AG89" s="28">
        <f>Q89</f>
        <v>0</v>
      </c>
      <c r="AH89" s="28">
        <f>S89</f>
        <v>0</v>
      </c>
      <c r="AI89" s="28">
        <f>U89</f>
        <v>0</v>
      </c>
      <c r="AJ89" s="28"/>
      <c r="AK89" s="45">
        <f>Z87-$AJ$4/3+E88+J88+O88+X87</f>
        <v>-100</v>
      </c>
      <c r="AL89" s="45">
        <f>Z87-$AJ$4/3*2+E88+J88+O88+X87</f>
        <v>-200</v>
      </c>
      <c r="AM89" s="45">
        <f>Z87-$AJ$4+E88+J88+O88+X87</f>
        <v>-300</v>
      </c>
    </row>
    <row r="90" spans="30:39" ht="16.5" customHeight="1">
      <c r="AK90" s="46"/>
      <c r="AL90" s="46"/>
      <c r="AM90" s="46"/>
    </row>
    <row r="91" spans="30:39" ht="16.5" customHeight="1">
      <c r="AD91" s="28">
        <f>B91</f>
        <v>0</v>
      </c>
      <c r="AE91" s="28">
        <f>G91</f>
        <v>0</v>
      </c>
      <c r="AF91" s="28">
        <f>L91</f>
        <v>0</v>
      </c>
      <c r="AG91" s="28">
        <f>Q91</f>
        <v>0</v>
      </c>
      <c r="AH91" s="28">
        <f>S91</f>
        <v>0</v>
      </c>
      <c r="AI91" s="28">
        <f>U91</f>
        <v>0</v>
      </c>
      <c r="AJ91" s="28"/>
      <c r="AK91" s="45">
        <f>Z89-$AJ$4/3+E90+J90+O90+X89</f>
        <v>-100</v>
      </c>
      <c r="AL91" s="45">
        <f>Z89-$AJ$4/3*2+E90+J90+O90+X89</f>
        <v>-200</v>
      </c>
      <c r="AM91" s="45">
        <f>Z89-$AJ$4+E90+J90+O90+X89</f>
        <v>-300</v>
      </c>
    </row>
    <row r="92" spans="30:39" ht="16.5" customHeight="1">
      <c r="AK92" s="46"/>
      <c r="AL92" s="46"/>
      <c r="AM92" s="46"/>
    </row>
    <row r="93" spans="30:39" ht="16.5" customHeight="1">
      <c r="AD93" s="28">
        <f>B93</f>
        <v>0</v>
      </c>
      <c r="AE93" s="28">
        <f>G93</f>
        <v>0</v>
      </c>
      <c r="AF93" s="28">
        <f>L93</f>
        <v>0</v>
      </c>
      <c r="AG93" s="28">
        <f>Q93</f>
        <v>0</v>
      </c>
      <c r="AH93" s="28">
        <f>S93</f>
        <v>0</v>
      </c>
      <c r="AI93" s="28">
        <f>U93</f>
        <v>0</v>
      </c>
      <c r="AJ93" s="28"/>
      <c r="AK93" s="45">
        <f>Z91-$AJ$4/3+E92+J92+O92+X91</f>
        <v>-100</v>
      </c>
      <c r="AL93" s="45">
        <f>Z91-$AJ$4/3*2+E92+J92+O92+X91</f>
        <v>-200</v>
      </c>
      <c r="AM93" s="45">
        <f>Z91-$AJ$4+E92+J92+O92+X91</f>
        <v>-300</v>
      </c>
    </row>
    <row r="94" spans="30:39" ht="16.5" customHeight="1">
      <c r="AK94" s="46"/>
      <c r="AL94" s="46"/>
      <c r="AM94" s="46"/>
    </row>
    <row r="95" spans="30:39" ht="16.5" customHeight="1">
      <c r="AD95" s="28">
        <f>B95</f>
        <v>0</v>
      </c>
      <c r="AE95" s="28">
        <f>G95</f>
        <v>0</v>
      </c>
      <c r="AF95" s="28">
        <f>L95</f>
        <v>0</v>
      </c>
      <c r="AG95" s="28">
        <f>Q95</f>
        <v>0</v>
      </c>
      <c r="AH95" s="28">
        <f>S95</f>
        <v>0</v>
      </c>
      <c r="AI95" s="28">
        <f>U95</f>
        <v>0</v>
      </c>
      <c r="AJ95" s="28"/>
      <c r="AK95" s="45">
        <f>Z93-$AJ$4/3+E94+J94+O94+X93</f>
        <v>-100</v>
      </c>
      <c r="AL95" s="45">
        <f>Z93-$AJ$4/3*2+E94+J94+O94+X93</f>
        <v>-200</v>
      </c>
      <c r="AM95" s="45">
        <f>Z93-$AJ$4+E94+J94+O94+X93</f>
        <v>-300</v>
      </c>
    </row>
    <row r="96" spans="30:39" ht="16.5" customHeight="1">
      <c r="AK96" s="46"/>
      <c r="AL96" s="46"/>
      <c r="AM96" s="46"/>
    </row>
    <row r="97" spans="30:39" ht="16.5" customHeight="1">
      <c r="AD97" s="28">
        <f>B97</f>
        <v>0</v>
      </c>
      <c r="AE97" s="28">
        <f>G97</f>
        <v>0</v>
      </c>
      <c r="AF97" s="28">
        <f>L97</f>
        <v>0</v>
      </c>
      <c r="AG97" s="28">
        <f>Q97</f>
        <v>0</v>
      </c>
      <c r="AH97" s="28">
        <f>S97</f>
        <v>0</v>
      </c>
      <c r="AI97" s="28">
        <f>U97</f>
        <v>0</v>
      </c>
      <c r="AJ97" s="28"/>
      <c r="AK97" s="45">
        <f>Z95-$AJ$4/3+E96+J96+O96+X95</f>
        <v>-100</v>
      </c>
      <c r="AL97" s="45">
        <f>Z95-$AJ$4/3*2+E96+J96+O96+X95</f>
        <v>-200</v>
      </c>
      <c r="AM97" s="45">
        <f>Z95-$AJ$4+E96+J96+O96+X95</f>
        <v>-300</v>
      </c>
    </row>
    <row r="98" spans="30:39" ht="16.5" customHeight="1">
      <c r="AK98" s="46"/>
      <c r="AL98" s="46"/>
      <c r="AM98" s="46"/>
    </row>
    <row r="99" spans="30:39" ht="16.5" customHeight="1">
      <c r="AD99" s="28">
        <f>B99</f>
        <v>0</v>
      </c>
      <c r="AE99" s="28">
        <f>G99</f>
        <v>0</v>
      </c>
      <c r="AF99" s="28">
        <f>L99</f>
        <v>0</v>
      </c>
      <c r="AG99" s="28">
        <f>Q99</f>
        <v>0</v>
      </c>
      <c r="AH99" s="28">
        <f>S99</f>
        <v>0</v>
      </c>
      <c r="AI99" s="28">
        <f>U99</f>
        <v>0</v>
      </c>
      <c r="AJ99" s="28"/>
      <c r="AK99" s="45">
        <f>Z97-$AJ$4/3+E98+J98+O98+X97</f>
        <v>-100</v>
      </c>
      <c r="AL99" s="45">
        <f>Z97-$AJ$4/3*2+E98+J98+O98+X97</f>
        <v>-200</v>
      </c>
      <c r="AM99" s="45">
        <f>Z97-$AJ$4+E98+J98+O98+X97</f>
        <v>-300</v>
      </c>
    </row>
    <row r="100" spans="30:39" ht="16.5" customHeight="1">
      <c r="AK100" s="46"/>
      <c r="AL100" s="46"/>
      <c r="AM100" s="46"/>
    </row>
    <row r="101" spans="30:39" ht="16.5" customHeight="1">
      <c r="AD101" s="28">
        <f>B101</f>
        <v>0</v>
      </c>
      <c r="AE101" s="28">
        <f>G101</f>
        <v>0</v>
      </c>
      <c r="AF101" s="28">
        <f>L101</f>
        <v>0</v>
      </c>
      <c r="AG101" s="28">
        <f>Q101</f>
        <v>0</v>
      </c>
      <c r="AH101" s="28">
        <f>S101</f>
        <v>0</v>
      </c>
      <c r="AI101" s="28">
        <f>U101</f>
        <v>0</v>
      </c>
      <c r="AJ101" s="28"/>
      <c r="AK101" s="45">
        <f>Z99-$AJ$4/3+E100+J100+O100+X99</f>
        <v>-100</v>
      </c>
      <c r="AL101" s="45">
        <f>Z99-$AJ$4/3*2+E100+J100+O100+X99</f>
        <v>-200</v>
      </c>
      <c r="AM101" s="45">
        <f>Z99-$AJ$4+E100+J100+O100+X99</f>
        <v>-300</v>
      </c>
    </row>
    <row r="102" spans="30:39" ht="16.5" customHeight="1">
      <c r="AK102" s="46"/>
      <c r="AL102" s="46"/>
      <c r="AM102" s="46"/>
    </row>
    <row r="103" spans="30:39" ht="16.5" customHeight="1">
      <c r="AD103" s="28">
        <f>B103</f>
        <v>0</v>
      </c>
      <c r="AE103" s="28">
        <f>G103</f>
        <v>0</v>
      </c>
      <c r="AF103" s="28">
        <f>L103</f>
        <v>0</v>
      </c>
      <c r="AG103" s="28">
        <f>Q103</f>
        <v>0</v>
      </c>
      <c r="AH103" s="28">
        <f>S103</f>
        <v>0</v>
      </c>
      <c r="AI103" s="28">
        <f>U103</f>
        <v>0</v>
      </c>
      <c r="AJ103" s="28"/>
      <c r="AK103" s="45">
        <f>Z101-$AJ$4/3+E102+J102+O102+X101</f>
        <v>-100</v>
      </c>
      <c r="AL103" s="45">
        <f>Z101-$AJ$4/3*2+E102+J102+O102+X101</f>
        <v>-200</v>
      </c>
      <c r="AM103" s="45">
        <f>Z101-$AJ$4+E102+J102+O102+X101</f>
        <v>-300</v>
      </c>
    </row>
    <row r="104" spans="30:39" ht="16.5" customHeight="1">
      <c r="AK104" s="46"/>
      <c r="AL104" s="46"/>
      <c r="AM104" s="46"/>
    </row>
    <row r="105" spans="30:39" ht="16.5" customHeight="1">
      <c r="AD105" s="28">
        <f>B105</f>
        <v>0</v>
      </c>
      <c r="AE105" s="28">
        <f>G105</f>
        <v>0</v>
      </c>
      <c r="AF105" s="28">
        <f>L105</f>
        <v>0</v>
      </c>
      <c r="AG105" s="28">
        <f>Q105</f>
        <v>0</v>
      </c>
      <c r="AH105" s="28">
        <f>S105</f>
        <v>0</v>
      </c>
      <c r="AI105" s="28">
        <f>U105</f>
        <v>0</v>
      </c>
      <c r="AJ105" s="28"/>
      <c r="AK105" s="45">
        <f>Z103-$AJ$4/3+E104+J104+O104+X103</f>
        <v>-100</v>
      </c>
      <c r="AL105" s="45">
        <f>Z103-$AJ$4/3*2+E104+J104+O104+X103</f>
        <v>-200</v>
      </c>
      <c r="AM105" s="45">
        <f>Z103-$AJ$4+E104+J104+O104+X103</f>
        <v>-300</v>
      </c>
    </row>
    <row r="106" spans="30:39" ht="16.5" customHeight="1">
      <c r="AK106" s="46"/>
      <c r="AL106" s="46"/>
      <c r="AM106" s="46"/>
    </row>
    <row r="107" spans="30:39" ht="16.5" customHeight="1">
      <c r="AD107" s="28">
        <f>B107</f>
        <v>0</v>
      </c>
      <c r="AE107" s="28">
        <f>G107</f>
        <v>0</v>
      </c>
      <c r="AF107" s="28">
        <f>L107</f>
        <v>0</v>
      </c>
      <c r="AG107" s="28">
        <f>Q107</f>
        <v>0</v>
      </c>
      <c r="AH107" s="28">
        <f>S107</f>
        <v>0</v>
      </c>
      <c r="AI107" s="28">
        <f>U107</f>
        <v>0</v>
      </c>
      <c r="AJ107" s="28"/>
      <c r="AK107" s="45">
        <f>Z105-$AJ$4/3+E106+J106+O106+X105</f>
        <v>-100</v>
      </c>
      <c r="AL107" s="45">
        <f>Z105-$AJ$4/3*2+E106+J106+O106+X105</f>
        <v>-200</v>
      </c>
      <c r="AM107" s="45">
        <f>Z105-$AJ$4+E106+J106+O106+X105</f>
        <v>-300</v>
      </c>
    </row>
    <row r="108" spans="30:39" ht="16.5" customHeight="1">
      <c r="AK108" s="46"/>
      <c r="AL108" s="46"/>
      <c r="AM108" s="46"/>
    </row>
    <row r="109" spans="30:39" ht="16.5" customHeight="1">
      <c r="AD109" s="28">
        <f>B109</f>
        <v>0</v>
      </c>
      <c r="AE109" s="28">
        <f>G109</f>
        <v>0</v>
      </c>
      <c r="AF109" s="28">
        <f>L109</f>
        <v>0</v>
      </c>
      <c r="AG109" s="28">
        <f>Q109</f>
        <v>0</v>
      </c>
      <c r="AH109" s="28">
        <f>S109</f>
        <v>0</v>
      </c>
      <c r="AI109" s="28">
        <f>U109</f>
        <v>0</v>
      </c>
      <c r="AJ109" s="28"/>
      <c r="AK109" s="45">
        <f>Z107-$AJ$4/3+E108+J108+O108+X107</f>
        <v>-100</v>
      </c>
      <c r="AL109" s="45">
        <f>Z107-$AJ$4/3*2+E108+J108+O108+X107</f>
        <v>-200</v>
      </c>
      <c r="AM109" s="45">
        <f>Z107-$AJ$4+E108+J108+O108+X107</f>
        <v>-300</v>
      </c>
    </row>
    <row r="110" spans="30:39" ht="16.5" customHeight="1">
      <c r="AK110" s="46"/>
      <c r="AL110" s="46"/>
      <c r="AM110" s="46"/>
    </row>
    <row r="111" spans="30:39" ht="16.5" customHeight="1">
      <c r="AD111" s="28">
        <f>B111</f>
        <v>0</v>
      </c>
      <c r="AE111" s="28">
        <f>G111</f>
        <v>0</v>
      </c>
      <c r="AF111" s="28">
        <f>L111</f>
        <v>0</v>
      </c>
      <c r="AG111" s="28">
        <f>Q111</f>
        <v>0</v>
      </c>
      <c r="AH111" s="28">
        <f>S111</f>
        <v>0</v>
      </c>
      <c r="AI111" s="28">
        <f>U111</f>
        <v>0</v>
      </c>
      <c r="AJ111" s="28"/>
      <c r="AK111" s="45">
        <f>Z109-$AJ$4/3+E110+J110+O110+X109</f>
        <v>-100</v>
      </c>
      <c r="AL111" s="45">
        <f>Z109-$AJ$4/3*2+E110+J110+O110+X109</f>
        <v>-200</v>
      </c>
      <c r="AM111" s="45">
        <f>Z109-$AJ$4+E110+J110+O110+X109</f>
        <v>-300</v>
      </c>
    </row>
    <row r="112" spans="30:39" ht="16.5" customHeight="1">
      <c r="AK112" s="46"/>
      <c r="AL112" s="46"/>
      <c r="AM112" s="46"/>
    </row>
    <row r="113" spans="30:39" ht="16.5" customHeight="1">
      <c r="AD113" s="28">
        <f>B113</f>
        <v>0</v>
      </c>
      <c r="AE113" s="28">
        <f>G113</f>
        <v>0</v>
      </c>
      <c r="AF113" s="28">
        <f>L113</f>
        <v>0</v>
      </c>
      <c r="AG113" s="28">
        <f>Q113</f>
        <v>0</v>
      </c>
      <c r="AH113" s="28">
        <f>S113</f>
        <v>0</v>
      </c>
      <c r="AI113" s="28">
        <f>U113</f>
        <v>0</v>
      </c>
      <c r="AJ113" s="28"/>
      <c r="AK113" s="45">
        <f>Z111-$AJ$4/3+E112+J112+O112+X111</f>
        <v>-100</v>
      </c>
      <c r="AL113" s="45">
        <f>Z111-$AJ$4/3*2+E112+J112+O112+X111</f>
        <v>-200</v>
      </c>
      <c r="AM113" s="45">
        <f>Z111-$AJ$4+E112+J112+O112+X111</f>
        <v>-300</v>
      </c>
    </row>
    <row r="114" spans="30:39" ht="16.5" customHeight="1">
      <c r="AK114" s="46"/>
      <c r="AL114" s="46"/>
      <c r="AM114" s="46"/>
    </row>
    <row r="115" spans="30:39" ht="16.5" customHeight="1">
      <c r="AD115" s="28">
        <f>B115</f>
        <v>0</v>
      </c>
      <c r="AE115" s="28">
        <f>G115</f>
        <v>0</v>
      </c>
      <c r="AF115" s="28">
        <f>L115</f>
        <v>0</v>
      </c>
      <c r="AG115" s="28">
        <f>Q115</f>
        <v>0</v>
      </c>
      <c r="AH115" s="28">
        <f>S115</f>
        <v>0</v>
      </c>
      <c r="AI115" s="28">
        <f>U115</f>
        <v>0</v>
      </c>
      <c r="AJ115" s="28"/>
      <c r="AK115" s="45">
        <f>Z113-$AJ$4/3+E114+J114+O114+X113</f>
        <v>-100</v>
      </c>
      <c r="AL115" s="45">
        <f>Z113-$AJ$4/3*2+E114+J114+O114+X113</f>
        <v>-200</v>
      </c>
      <c r="AM115" s="45">
        <f>Z113-$AJ$4+E114+J114+O114+X113</f>
        <v>-300</v>
      </c>
    </row>
    <row r="116" spans="30:39" ht="16.5" customHeight="1">
      <c r="AK116" s="46"/>
      <c r="AL116" s="46"/>
      <c r="AM116" s="46"/>
    </row>
    <row r="117" spans="30:39" ht="16.5" customHeight="1">
      <c r="AD117" s="28">
        <f>B117</f>
        <v>0</v>
      </c>
      <c r="AE117" s="28">
        <f>G117</f>
        <v>0</v>
      </c>
      <c r="AF117" s="28">
        <f>L117</f>
        <v>0</v>
      </c>
      <c r="AG117" s="28">
        <f>Q117</f>
        <v>0</v>
      </c>
      <c r="AH117" s="28">
        <f>S117</f>
        <v>0</v>
      </c>
      <c r="AI117" s="28">
        <f>U117</f>
        <v>0</v>
      </c>
      <c r="AJ117" s="28"/>
      <c r="AK117" s="45">
        <f>Z115-$AJ$4/3+E116+J116+O116+X115</f>
        <v>-100</v>
      </c>
      <c r="AL117" s="45">
        <f>Z115-$AJ$4/3*2+E116+J116+O116+X115</f>
        <v>-200</v>
      </c>
      <c r="AM117" s="45">
        <f>Z115-$AJ$4+E116+J116+O116+X115</f>
        <v>-300</v>
      </c>
    </row>
    <row r="118" spans="30:39" ht="16.5" customHeight="1">
      <c r="AK118" s="46"/>
      <c r="AL118" s="46"/>
      <c r="AM118" s="46"/>
    </row>
    <row r="119" spans="30:39" ht="16.5" customHeight="1">
      <c r="AD119" s="28">
        <f>B119</f>
        <v>0</v>
      </c>
      <c r="AE119" s="28">
        <f>G119</f>
        <v>0</v>
      </c>
      <c r="AF119" s="28">
        <f>L119</f>
        <v>0</v>
      </c>
      <c r="AG119" s="28">
        <f>Q119</f>
        <v>0</v>
      </c>
      <c r="AH119" s="28">
        <f>S119</f>
        <v>0</v>
      </c>
      <c r="AI119" s="28">
        <f>U119</f>
        <v>0</v>
      </c>
      <c r="AJ119" s="28"/>
      <c r="AK119" s="45">
        <f>Z117-$AJ$4/3+E118+J118+O118+X117</f>
        <v>-100</v>
      </c>
      <c r="AL119" s="45">
        <f>Z117-$AJ$4/3*2+E118+J118+O118+X117</f>
        <v>-200</v>
      </c>
      <c r="AM119" s="45">
        <f>Z117-$AJ$4+E118+J118+O118+X117</f>
        <v>-300</v>
      </c>
    </row>
    <row r="120" spans="30:39" ht="16.5" customHeight="1">
      <c r="AK120" s="46"/>
      <c r="AL120" s="46"/>
      <c r="AM120" s="46"/>
    </row>
    <row r="121" spans="30:39" ht="16.5" customHeight="1">
      <c r="AD121" s="28">
        <f>B121</f>
        <v>0</v>
      </c>
      <c r="AE121" s="28">
        <f>G121</f>
        <v>0</v>
      </c>
      <c r="AF121" s="28">
        <f>L121</f>
        <v>0</v>
      </c>
      <c r="AG121" s="28">
        <f>Q121</f>
        <v>0</v>
      </c>
      <c r="AH121" s="28">
        <f>S121</f>
        <v>0</v>
      </c>
      <c r="AI121" s="28">
        <f>U121</f>
        <v>0</v>
      </c>
      <c r="AJ121" s="28"/>
      <c r="AK121" s="45">
        <f>Z119-$AJ$4/3+E120+J120+O120+X119</f>
        <v>-100</v>
      </c>
      <c r="AL121" s="45">
        <f>Z119-$AJ$4/3*2+E120+J120+O120+X119</f>
        <v>-200</v>
      </c>
      <c r="AM121" s="45">
        <f>Z119-$AJ$4+E120+J120+O120+X119</f>
        <v>-300</v>
      </c>
    </row>
    <row r="122" spans="30:39" ht="16.5" customHeight="1">
      <c r="AK122" s="46"/>
      <c r="AL122" s="46"/>
      <c r="AM122" s="46"/>
    </row>
    <row r="123" spans="30:39" ht="16.5" customHeight="1">
      <c r="AD123" s="28">
        <f>B123</f>
        <v>0</v>
      </c>
      <c r="AE123" s="28">
        <f>G123</f>
        <v>0</v>
      </c>
      <c r="AF123" s="28">
        <f>L123</f>
        <v>0</v>
      </c>
      <c r="AG123" s="28">
        <f>Q123</f>
        <v>0</v>
      </c>
      <c r="AH123" s="28">
        <f>S123</f>
        <v>0</v>
      </c>
      <c r="AI123" s="28">
        <f>U123</f>
        <v>0</v>
      </c>
      <c r="AJ123" s="28"/>
      <c r="AK123" s="45">
        <f>Z121-$AJ$4/3+E122+J122+O122+X121</f>
        <v>-100</v>
      </c>
      <c r="AL123" s="45">
        <f>Z121-$AJ$4/3*2+E122+J122+O122+X121</f>
        <v>-200</v>
      </c>
      <c r="AM123" s="45">
        <f>Z121-$AJ$4+E122+J122+O122+X121</f>
        <v>-300</v>
      </c>
    </row>
    <row r="124" spans="30:39" ht="16.5" customHeight="1">
      <c r="AK124" s="46"/>
      <c r="AL124" s="46"/>
      <c r="AM124" s="46"/>
    </row>
    <row r="125" spans="30:39" ht="16.5" customHeight="1">
      <c r="AD125" s="28">
        <f>B125</f>
        <v>0</v>
      </c>
      <c r="AE125" s="28">
        <f>G125</f>
        <v>0</v>
      </c>
      <c r="AF125" s="28">
        <f>L125</f>
        <v>0</v>
      </c>
      <c r="AG125" s="28">
        <f>Q125</f>
        <v>0</v>
      </c>
      <c r="AH125" s="28">
        <f>S125</f>
        <v>0</v>
      </c>
      <c r="AI125" s="28">
        <f>U125</f>
        <v>0</v>
      </c>
      <c r="AJ125" s="28"/>
      <c r="AK125" s="45">
        <f>Z123-$AJ$4/3+E124+J124+O124+X123</f>
        <v>-100</v>
      </c>
      <c r="AL125" s="45">
        <f>Z123-$AJ$4/3*2+E124+J124+O124+X123</f>
        <v>-200</v>
      </c>
      <c r="AM125" s="45">
        <f>Z123-$AJ$4+E124+J124+O124+X123</f>
        <v>-300</v>
      </c>
    </row>
    <row r="126" spans="30:39" ht="16.5" customHeight="1">
      <c r="AK126" s="46"/>
      <c r="AL126" s="46"/>
      <c r="AM126" s="46"/>
    </row>
    <row r="127" spans="30:39" ht="16.5" customHeight="1">
      <c r="AD127" s="28">
        <f>B127</f>
        <v>0</v>
      </c>
      <c r="AE127" s="28">
        <f>G127</f>
        <v>0</v>
      </c>
      <c r="AF127" s="28">
        <f>L127</f>
        <v>0</v>
      </c>
      <c r="AG127" s="28">
        <f>Q127</f>
        <v>0</v>
      </c>
      <c r="AH127" s="28">
        <f>S127</f>
        <v>0</v>
      </c>
      <c r="AI127" s="28">
        <f>U127</f>
        <v>0</v>
      </c>
      <c r="AJ127" s="28"/>
      <c r="AK127" s="45">
        <f>Z125-$AJ$4/3+E126+J126+O126+X125</f>
        <v>-100</v>
      </c>
      <c r="AL127" s="45">
        <f>Z125-$AJ$4/3*2+E126+J126+O126+X125</f>
        <v>-200</v>
      </c>
      <c r="AM127" s="45">
        <f>Z125-$AJ$4+E126+J126+O126+X125</f>
        <v>-300</v>
      </c>
    </row>
    <row r="128" spans="30:39" ht="16.5" customHeight="1">
      <c r="AK128" s="46"/>
      <c r="AL128" s="46"/>
      <c r="AM128" s="46"/>
    </row>
    <row r="129" spans="30:39" ht="16.5" customHeight="1">
      <c r="AD129" s="28">
        <f>B129</f>
        <v>0</v>
      </c>
      <c r="AE129" s="28">
        <f>G129</f>
        <v>0</v>
      </c>
      <c r="AF129" s="28">
        <f>L129</f>
        <v>0</v>
      </c>
      <c r="AG129" s="28">
        <f>Q129</f>
        <v>0</v>
      </c>
      <c r="AH129" s="28">
        <f>S129</f>
        <v>0</v>
      </c>
      <c r="AI129" s="28">
        <f>U129</f>
        <v>0</v>
      </c>
      <c r="AJ129" s="28"/>
      <c r="AK129" s="45">
        <f>Z127-$AJ$4/3+E128+J128+O128+X127</f>
        <v>-100</v>
      </c>
      <c r="AL129" s="45">
        <f>Z127-$AJ$4/3*2+E128+J128+O128+X127</f>
        <v>-200</v>
      </c>
      <c r="AM129" s="45">
        <f>Z127-$AJ$4+E128+J128+O128+X127</f>
        <v>-300</v>
      </c>
    </row>
    <row r="130" spans="30:39" ht="16.5" customHeight="1">
      <c r="AK130" s="46"/>
      <c r="AL130" s="46"/>
      <c r="AM130" s="46"/>
    </row>
    <row r="131" spans="30:39" ht="16.5" customHeight="1">
      <c r="AD131" s="28">
        <f>B131</f>
        <v>0</v>
      </c>
      <c r="AE131" s="28">
        <f>G131</f>
        <v>0</v>
      </c>
      <c r="AF131" s="28">
        <f>L131</f>
        <v>0</v>
      </c>
      <c r="AG131" s="28">
        <f>Q131</f>
        <v>0</v>
      </c>
      <c r="AH131" s="28">
        <f>S131</f>
        <v>0</v>
      </c>
      <c r="AI131" s="28">
        <f>U131</f>
        <v>0</v>
      </c>
      <c r="AJ131" s="28"/>
      <c r="AK131" s="45">
        <f>Z129-$AJ$4/3+E130+J130+O130+X129</f>
        <v>-100</v>
      </c>
      <c r="AL131" s="45">
        <f>Z129-$AJ$4/3*2+E130+J130+O130+X129</f>
        <v>-200</v>
      </c>
      <c r="AM131" s="45">
        <f>Z129-$AJ$4+E130+J130+O130+X129</f>
        <v>-300</v>
      </c>
    </row>
    <row r="132" spans="30:39" ht="16.5" customHeight="1">
      <c r="AK132" s="46"/>
      <c r="AL132" s="46"/>
      <c r="AM132" s="46"/>
    </row>
    <row r="133" spans="30:39" ht="16.5" customHeight="1">
      <c r="AD133" s="28">
        <f>B133</f>
        <v>0</v>
      </c>
      <c r="AE133" s="28">
        <f>G133</f>
        <v>0</v>
      </c>
      <c r="AF133" s="28">
        <f>L133</f>
        <v>0</v>
      </c>
      <c r="AG133" s="28">
        <f>Q133</f>
        <v>0</v>
      </c>
      <c r="AH133" s="28">
        <f>S133</f>
        <v>0</v>
      </c>
      <c r="AI133" s="28">
        <f>U133</f>
        <v>0</v>
      </c>
      <c r="AJ133" s="28"/>
      <c r="AK133" s="45">
        <f>Z131-$AJ$4/3+E132+J132+O132+X131</f>
        <v>-100</v>
      </c>
      <c r="AL133" s="45">
        <f>Z131-$AJ$4/3*2+E132+J132+O132+X131</f>
        <v>-200</v>
      </c>
      <c r="AM133" s="45">
        <f>Z131-$AJ$4+E132+J132+O132+X131</f>
        <v>-300</v>
      </c>
    </row>
    <row r="134" spans="30:39" ht="16.5" customHeight="1">
      <c r="AK134" s="46"/>
      <c r="AL134" s="46"/>
      <c r="AM134" s="46"/>
    </row>
    <row r="135" spans="30:39" ht="16.5" customHeight="1">
      <c r="AD135" s="28">
        <f>B135</f>
        <v>0</v>
      </c>
      <c r="AE135" s="28">
        <f>G135</f>
        <v>0</v>
      </c>
      <c r="AF135" s="28">
        <f>L135</f>
        <v>0</v>
      </c>
      <c r="AG135" s="28">
        <f>Q135</f>
        <v>0</v>
      </c>
      <c r="AH135" s="28">
        <f>S135</f>
        <v>0</v>
      </c>
      <c r="AI135" s="28">
        <f>U135</f>
        <v>0</v>
      </c>
      <c r="AJ135" s="28"/>
      <c r="AK135" s="45">
        <f>Z133-$AJ$4/3+E134+J134+O134+X133</f>
        <v>-100</v>
      </c>
      <c r="AL135" s="45">
        <f>Z133-$AJ$4/3*2+E134+J134+O134+X133</f>
        <v>-200</v>
      </c>
      <c r="AM135" s="45">
        <f>Z133-$AJ$4+E134+J134+O134+X133</f>
        <v>-300</v>
      </c>
    </row>
    <row r="136" spans="30:39" ht="16.5" customHeight="1">
      <c r="AK136" s="46"/>
      <c r="AL136" s="46"/>
      <c r="AM136" s="46"/>
    </row>
    <row r="137" spans="30:39" ht="16.5" customHeight="1">
      <c r="AD137" s="28">
        <f>B137</f>
        <v>0</v>
      </c>
      <c r="AE137" s="28">
        <f>G137</f>
        <v>0</v>
      </c>
      <c r="AF137" s="28">
        <f>L137</f>
        <v>0</v>
      </c>
      <c r="AG137" s="28">
        <f>Q137</f>
        <v>0</v>
      </c>
      <c r="AH137" s="28">
        <f>S137</f>
        <v>0</v>
      </c>
      <c r="AI137" s="28">
        <f>U137</f>
        <v>0</v>
      </c>
      <c r="AJ137" s="28"/>
      <c r="AK137" s="45">
        <f>Z135-$AJ$4/3+E136+J136+O136+X135</f>
        <v>-100</v>
      </c>
      <c r="AL137" s="45">
        <f>Z135-$AJ$4/3*2+E136+J136+O136+X135</f>
        <v>-200</v>
      </c>
      <c r="AM137" s="45">
        <f>Z135-$AJ$4+E136+J136+O136+X135</f>
        <v>-300</v>
      </c>
    </row>
    <row r="138" spans="30:39" ht="16.5" customHeight="1">
      <c r="AK138" s="46"/>
      <c r="AL138" s="46"/>
      <c r="AM138" s="46"/>
    </row>
    <row r="139" spans="30:39" ht="16.5" customHeight="1">
      <c r="AD139" s="28">
        <f>B139</f>
        <v>0</v>
      </c>
      <c r="AE139" s="28">
        <f>G139</f>
        <v>0</v>
      </c>
      <c r="AF139" s="28">
        <f>L139</f>
        <v>0</v>
      </c>
      <c r="AG139" s="28">
        <f>Q139</f>
        <v>0</v>
      </c>
      <c r="AH139" s="28">
        <f>S139</f>
        <v>0</v>
      </c>
      <c r="AI139" s="28">
        <f>U139</f>
        <v>0</v>
      </c>
      <c r="AJ139" s="28"/>
      <c r="AK139" s="45">
        <f>Z137-$AJ$4/3+E138+J138+O138+X137</f>
        <v>-100</v>
      </c>
      <c r="AL139" s="45">
        <f>Z137-$AJ$4/3*2+E138+J138+O138+X137</f>
        <v>-200</v>
      </c>
      <c r="AM139" s="45">
        <f>Z137-$AJ$4+E138+J138+O138+X137</f>
        <v>-300</v>
      </c>
    </row>
    <row r="140" spans="30:39" ht="16.5" customHeight="1">
      <c r="AK140" s="46"/>
      <c r="AL140" s="46"/>
      <c r="AM140" s="46"/>
    </row>
    <row r="141" spans="30:39" ht="16.5" customHeight="1">
      <c r="AD141" s="28">
        <f>B141</f>
        <v>0</v>
      </c>
      <c r="AE141" s="28">
        <f>G141</f>
        <v>0</v>
      </c>
      <c r="AF141" s="28">
        <f>L141</f>
        <v>0</v>
      </c>
      <c r="AG141" s="28">
        <f>Q141</f>
        <v>0</v>
      </c>
      <c r="AH141" s="28">
        <f>S141</f>
        <v>0</v>
      </c>
      <c r="AI141" s="28">
        <f>U141</f>
        <v>0</v>
      </c>
      <c r="AJ141" s="28"/>
      <c r="AK141" s="45">
        <f>Z139-$AJ$4/3+E140+J140+O140+X139</f>
        <v>-100</v>
      </c>
      <c r="AL141" s="45">
        <f>Z139-$AJ$4/3*2+E140+J140+O140+X139</f>
        <v>-200</v>
      </c>
      <c r="AM141" s="45">
        <f>Z139-$AJ$4+E140+J140+O140+X139</f>
        <v>-300</v>
      </c>
    </row>
    <row r="142" spans="30:39" ht="16.5" customHeight="1">
      <c r="AK142" s="46"/>
      <c r="AL142" s="46"/>
      <c r="AM142" s="46"/>
    </row>
    <row r="143" spans="30:39" ht="16.5" customHeight="1">
      <c r="AD143" s="28">
        <f>B143</f>
        <v>0</v>
      </c>
      <c r="AE143" s="28">
        <f>G143</f>
        <v>0</v>
      </c>
      <c r="AF143" s="28">
        <f>L143</f>
        <v>0</v>
      </c>
      <c r="AG143" s="28">
        <f>Q143</f>
        <v>0</v>
      </c>
      <c r="AH143" s="28">
        <f>S143</f>
        <v>0</v>
      </c>
      <c r="AI143" s="28">
        <f>U143</f>
        <v>0</v>
      </c>
      <c r="AJ143" s="28"/>
      <c r="AK143" s="45">
        <f>Z141-$AJ$4/3+E142+J142+O142+X141</f>
        <v>-100</v>
      </c>
      <c r="AL143" s="45">
        <f>Z141-$AJ$4/3*2+E142+J142+O142+X141</f>
        <v>-200</v>
      </c>
      <c r="AM143" s="45">
        <f>Z141-$AJ$4+E142+J142+O142+X141</f>
        <v>-300</v>
      </c>
    </row>
    <row r="144" spans="30:39" ht="16.5" customHeight="1">
      <c r="AK144" s="46"/>
      <c r="AL144" s="46"/>
      <c r="AM144" s="46"/>
    </row>
    <row r="145" spans="30:39" ht="16.5" customHeight="1">
      <c r="AD145" s="28">
        <f>B145</f>
        <v>0</v>
      </c>
      <c r="AE145" s="28">
        <f>G145</f>
        <v>0</v>
      </c>
      <c r="AF145" s="28">
        <f>L145</f>
        <v>0</v>
      </c>
      <c r="AG145" s="28">
        <f>Q145</f>
        <v>0</v>
      </c>
      <c r="AH145" s="28">
        <f>S145</f>
        <v>0</v>
      </c>
      <c r="AI145" s="28">
        <f>U145</f>
        <v>0</v>
      </c>
      <c r="AJ145" s="28"/>
      <c r="AK145" s="45">
        <f>Z143-$AJ$4/3+E144+J144+O144+X143</f>
        <v>-100</v>
      </c>
      <c r="AL145" s="45">
        <f>Z143-$AJ$4/3*2+E144+J144+O144+X143</f>
        <v>-200</v>
      </c>
      <c r="AM145" s="45">
        <f>Z143-$AJ$4+E144+J144+O144+X143</f>
        <v>-300</v>
      </c>
    </row>
    <row r="146" spans="30:39" ht="16.5" customHeight="1">
      <c r="AK146" s="46"/>
      <c r="AL146" s="46"/>
      <c r="AM146" s="46"/>
    </row>
    <row r="147" spans="30:39" ht="16.5" customHeight="1">
      <c r="AD147" s="28">
        <f>B147</f>
        <v>0</v>
      </c>
      <c r="AE147" s="28">
        <f>G147</f>
        <v>0</v>
      </c>
      <c r="AF147" s="28">
        <f>L147</f>
        <v>0</v>
      </c>
      <c r="AG147" s="28">
        <f>Q147</f>
        <v>0</v>
      </c>
      <c r="AH147" s="28">
        <f>S147</f>
        <v>0</v>
      </c>
      <c r="AI147" s="28">
        <f>U147</f>
        <v>0</v>
      </c>
      <c r="AJ147" s="28"/>
      <c r="AK147" s="45">
        <f>Z145-$AJ$4/3+E146+J146+O146+X145</f>
        <v>-100</v>
      </c>
      <c r="AL147" s="45">
        <f>Z145-$AJ$4/3*2+E146+J146+O146+X145</f>
        <v>-200</v>
      </c>
      <c r="AM147" s="45">
        <f>Z145-$AJ$4+E146+J146+O146+X145</f>
        <v>-300</v>
      </c>
    </row>
    <row r="148" spans="30:39" ht="16.5" customHeight="1">
      <c r="AK148" s="46"/>
      <c r="AL148" s="46"/>
      <c r="AM148" s="46"/>
    </row>
    <row r="149" spans="30:39" ht="16.5" customHeight="1">
      <c r="AD149" s="28">
        <f>B149</f>
        <v>0</v>
      </c>
      <c r="AE149" s="28">
        <f>G149</f>
        <v>0</v>
      </c>
      <c r="AF149" s="28">
        <f>L149</f>
        <v>0</v>
      </c>
      <c r="AG149" s="28">
        <f>Q149</f>
        <v>0</v>
      </c>
      <c r="AH149" s="28">
        <f>S149</f>
        <v>0</v>
      </c>
      <c r="AI149" s="28">
        <f>U149</f>
        <v>0</v>
      </c>
      <c r="AJ149" s="28"/>
      <c r="AK149" s="45">
        <f>Z147-$AJ$4/3+E148+J148+O148+X147</f>
        <v>-100</v>
      </c>
      <c r="AL149" s="45">
        <f>Z147-$AJ$4/3*2+E148+J148+O148+X147</f>
        <v>-200</v>
      </c>
      <c r="AM149" s="45">
        <f>Z147-$AJ$4+E148+J148+O148+X147</f>
        <v>-300</v>
      </c>
    </row>
    <row r="150" spans="30:39" ht="16.5" customHeight="1">
      <c r="AK150" s="46"/>
      <c r="AL150" s="46"/>
      <c r="AM150" s="46"/>
    </row>
    <row r="151" spans="30:39" ht="16.5" customHeight="1">
      <c r="AD151" s="28">
        <f>B151</f>
        <v>0</v>
      </c>
      <c r="AE151" s="28">
        <f>G151</f>
        <v>0</v>
      </c>
      <c r="AF151" s="28">
        <f>L151</f>
        <v>0</v>
      </c>
      <c r="AG151" s="28">
        <f>Q151</f>
        <v>0</v>
      </c>
      <c r="AH151" s="28">
        <f>S151</f>
        <v>0</v>
      </c>
      <c r="AI151" s="28">
        <f>U151</f>
        <v>0</v>
      </c>
      <c r="AJ151" s="28"/>
      <c r="AK151" s="45">
        <f>Z149-$AJ$4/3+E150+J150+O150+X149</f>
        <v>-100</v>
      </c>
      <c r="AL151" s="45">
        <f>Z149-$AJ$4/3*2+E150+J150+O150+X149</f>
        <v>-200</v>
      </c>
      <c r="AM151" s="45">
        <f>Z149-$AJ$4+E150+J150+O150+X149</f>
        <v>-300</v>
      </c>
    </row>
    <row r="152" spans="30:39" ht="16.5" customHeight="1">
      <c r="AK152" s="46"/>
      <c r="AL152" s="46"/>
      <c r="AM152" s="46"/>
    </row>
    <row r="153" spans="30:39" ht="16.5" customHeight="1">
      <c r="AD153" s="28">
        <f>B153</f>
        <v>0</v>
      </c>
      <c r="AE153" s="28">
        <f>G153</f>
        <v>0</v>
      </c>
      <c r="AF153" s="28">
        <f>L153</f>
        <v>0</v>
      </c>
      <c r="AG153" s="28">
        <f>Q153</f>
        <v>0</v>
      </c>
      <c r="AH153" s="28">
        <f>S153</f>
        <v>0</v>
      </c>
      <c r="AI153" s="28">
        <f>U153</f>
        <v>0</v>
      </c>
      <c r="AJ153" s="28"/>
      <c r="AK153" s="45">
        <f>Z151-$AJ$4/3+E152+J152+O152+X151</f>
        <v>-100</v>
      </c>
      <c r="AL153" s="45">
        <f>Z151-$AJ$4/3*2+E152+J152+O152+X151</f>
        <v>-200</v>
      </c>
      <c r="AM153" s="45">
        <f>Z151-$AJ$4+E152+J152+O152+X151</f>
        <v>-300</v>
      </c>
    </row>
    <row r="154" spans="30:39" ht="16.5" customHeight="1">
      <c r="AK154" s="46"/>
      <c r="AL154" s="46"/>
      <c r="AM154" s="46"/>
    </row>
    <row r="155" spans="30:39" ht="16.5" customHeight="1">
      <c r="AD155" s="28">
        <f>B155</f>
        <v>0</v>
      </c>
      <c r="AE155" s="28">
        <f>G155</f>
        <v>0</v>
      </c>
      <c r="AF155" s="28">
        <f>L155</f>
        <v>0</v>
      </c>
      <c r="AG155" s="28">
        <f>Q155</f>
        <v>0</v>
      </c>
      <c r="AH155" s="28">
        <f>S155</f>
        <v>0</v>
      </c>
      <c r="AI155" s="28">
        <f>U155</f>
        <v>0</v>
      </c>
      <c r="AJ155" s="28"/>
      <c r="AK155" s="45">
        <f>Z153-$AJ$4/3+E154+J154+O154+X153</f>
        <v>-100</v>
      </c>
      <c r="AL155" s="45">
        <f>Z153-$AJ$4/3*2+E154+J154+O154+X153</f>
        <v>-200</v>
      </c>
      <c r="AM155" s="45">
        <f>Z153-$AJ$4+E154+J154+O154+X153</f>
        <v>-300</v>
      </c>
    </row>
    <row r="156" spans="30:39" ht="16.5" customHeight="1">
      <c r="AK156" s="46"/>
      <c r="AL156" s="46"/>
      <c r="AM156" s="46"/>
    </row>
    <row r="157" spans="30:39" ht="16.5" customHeight="1">
      <c r="AD157" s="28">
        <f>B157</f>
        <v>0</v>
      </c>
      <c r="AE157" s="28">
        <f>G157</f>
        <v>0</v>
      </c>
      <c r="AF157" s="28">
        <f>L157</f>
        <v>0</v>
      </c>
      <c r="AG157" s="28">
        <f>Q157</f>
        <v>0</v>
      </c>
      <c r="AH157" s="28">
        <f>S157</f>
        <v>0</v>
      </c>
      <c r="AI157" s="28">
        <f>U157</f>
        <v>0</v>
      </c>
      <c r="AJ157" s="28"/>
      <c r="AK157" s="45">
        <f>Z155-$AJ$4/3+E156+J156+O156+X155</f>
        <v>-100</v>
      </c>
      <c r="AL157" s="45">
        <f>Z155-$AJ$4/3*2+E156+J156+O156+X155</f>
        <v>-200</v>
      </c>
      <c r="AM157" s="45">
        <f>Z155-$AJ$4+E156+J156+O156+X155</f>
        <v>-300</v>
      </c>
    </row>
    <row r="158" spans="30:39" ht="16.5" customHeight="1">
      <c r="AK158" s="46"/>
      <c r="AL158" s="46"/>
      <c r="AM158" s="46"/>
    </row>
    <row r="159" spans="30:39" ht="16.5" customHeight="1">
      <c r="AD159" s="28">
        <f>B159</f>
        <v>0</v>
      </c>
      <c r="AE159" s="28">
        <f>G159</f>
        <v>0</v>
      </c>
      <c r="AF159" s="28">
        <f>L159</f>
        <v>0</v>
      </c>
      <c r="AG159" s="28">
        <f>Q159</f>
        <v>0</v>
      </c>
      <c r="AH159" s="28">
        <f>S159</f>
        <v>0</v>
      </c>
      <c r="AI159" s="28">
        <f>U159</f>
        <v>0</v>
      </c>
      <c r="AJ159" s="28"/>
      <c r="AK159" s="45">
        <f>Z157-$AJ$4/3+E158+J158+O158+X157</f>
        <v>-100</v>
      </c>
      <c r="AL159" s="45">
        <f>Z157-$AJ$4/3*2+E158+J158+O158+X157</f>
        <v>-200</v>
      </c>
      <c r="AM159" s="45">
        <f>Z157-$AJ$4+E158+J158+O158+X157</f>
        <v>-300</v>
      </c>
    </row>
    <row r="160" spans="30:39" ht="16.5" customHeight="1">
      <c r="AK160" s="46"/>
      <c r="AL160" s="46"/>
      <c r="AM160" s="46"/>
    </row>
    <row r="161" spans="30:39" ht="16.5" customHeight="1">
      <c r="AD161" s="28">
        <f>B161</f>
        <v>0</v>
      </c>
      <c r="AE161" s="28">
        <f>G161</f>
        <v>0</v>
      </c>
      <c r="AF161" s="28">
        <f>L161</f>
        <v>0</v>
      </c>
      <c r="AG161" s="28">
        <f>Q161</f>
        <v>0</v>
      </c>
      <c r="AH161" s="28">
        <f>S161</f>
        <v>0</v>
      </c>
      <c r="AI161" s="28">
        <f>U161</f>
        <v>0</v>
      </c>
      <c r="AJ161" s="28"/>
      <c r="AK161" s="45">
        <f>Z159-$AJ$4/3+E160+J160+O160+X159</f>
        <v>-100</v>
      </c>
      <c r="AL161" s="45">
        <f>Z159-$AJ$4/3*2+E160+J160+O160+X159</f>
        <v>-200</v>
      </c>
      <c r="AM161" s="45">
        <f>Z159-$AJ$4+E160+J160+O160+X159</f>
        <v>-300</v>
      </c>
    </row>
    <row r="162" spans="30:39" ht="16.5" customHeight="1">
      <c r="AK162" s="46"/>
      <c r="AL162" s="46"/>
      <c r="AM162" s="46"/>
    </row>
    <row r="163" spans="30:39" ht="16.5" customHeight="1">
      <c r="AD163" s="28">
        <f>B163</f>
        <v>0</v>
      </c>
      <c r="AE163" s="28">
        <f>G163</f>
        <v>0</v>
      </c>
      <c r="AF163" s="28">
        <f>L163</f>
        <v>0</v>
      </c>
      <c r="AG163" s="28">
        <f>Q163</f>
        <v>0</v>
      </c>
      <c r="AH163" s="28">
        <f>S163</f>
        <v>0</v>
      </c>
      <c r="AI163" s="28">
        <f>U163</f>
        <v>0</v>
      </c>
      <c r="AJ163" s="28"/>
      <c r="AK163" s="45">
        <f>Z161-$AJ$4/3+E162+J162+O162+X161</f>
        <v>-100</v>
      </c>
      <c r="AL163" s="45">
        <f>Z161-$AJ$4/3*2+E162+J162+O162+X161</f>
        <v>-200</v>
      </c>
      <c r="AM163" s="45">
        <f>Z161-$AJ$4+E162+J162+O162+X161</f>
        <v>-300</v>
      </c>
    </row>
    <row r="164" spans="30:39" ht="16.5" customHeight="1">
      <c r="AK164" s="46"/>
      <c r="AL164" s="46"/>
      <c r="AM164" s="46"/>
    </row>
    <row r="165" spans="30:39" ht="16.5" customHeight="1">
      <c r="AD165" s="28">
        <f>B165</f>
        <v>0</v>
      </c>
      <c r="AE165" s="28">
        <f>G165</f>
        <v>0</v>
      </c>
      <c r="AF165" s="28">
        <f>L165</f>
        <v>0</v>
      </c>
      <c r="AG165" s="28">
        <f>Q165</f>
        <v>0</v>
      </c>
      <c r="AH165" s="28">
        <f>S165</f>
        <v>0</v>
      </c>
      <c r="AI165" s="28">
        <f>U165</f>
        <v>0</v>
      </c>
      <c r="AJ165" s="28"/>
      <c r="AK165" s="45">
        <f>Z163-$AJ$4/3+E164+J164+O164+X163</f>
        <v>-100</v>
      </c>
      <c r="AL165" s="45">
        <f>Z163-$AJ$4/3*2+E164+J164+O164+X163</f>
        <v>-200</v>
      </c>
      <c r="AM165" s="45">
        <f>Z163-$AJ$4+E164+J164+O164+X163</f>
        <v>-300</v>
      </c>
    </row>
    <row r="166" spans="30:39" ht="16.5" customHeight="1">
      <c r="AK166" s="46"/>
      <c r="AL166" s="46"/>
      <c r="AM166" s="46"/>
    </row>
    <row r="167" spans="30:39" ht="16.5" customHeight="1">
      <c r="AD167" s="28">
        <f>B167</f>
        <v>0</v>
      </c>
      <c r="AE167" s="28">
        <f>G167</f>
        <v>0</v>
      </c>
      <c r="AF167" s="28">
        <f>L167</f>
        <v>0</v>
      </c>
      <c r="AG167" s="28">
        <f>Q167</f>
        <v>0</v>
      </c>
      <c r="AH167" s="28">
        <f>S167</f>
        <v>0</v>
      </c>
      <c r="AI167" s="28">
        <f>U167</f>
        <v>0</v>
      </c>
      <c r="AJ167" s="28"/>
      <c r="AK167" s="45">
        <f>Z165-$AJ$4/3+E166+J166+O166+X165</f>
        <v>-100</v>
      </c>
      <c r="AL167" s="45">
        <f>Z165-$AJ$4/3*2+E166+J166+O166+X165</f>
        <v>-200</v>
      </c>
      <c r="AM167" s="45">
        <f>Z165-$AJ$4+E166+J166+O166+X165</f>
        <v>-300</v>
      </c>
    </row>
    <row r="168" spans="30:39" ht="16.5" customHeight="1">
      <c r="AK168" s="46"/>
      <c r="AL168" s="46"/>
      <c r="AM168" s="46"/>
    </row>
    <row r="169" spans="30:39" ht="16.5" customHeight="1">
      <c r="AD169" s="28">
        <f>B169</f>
        <v>0</v>
      </c>
      <c r="AE169" s="28">
        <f>G169</f>
        <v>0</v>
      </c>
      <c r="AF169" s="28">
        <f>L169</f>
        <v>0</v>
      </c>
      <c r="AG169" s="28">
        <f>Q169</f>
        <v>0</v>
      </c>
      <c r="AH169" s="28">
        <f>S169</f>
        <v>0</v>
      </c>
      <c r="AI169" s="28">
        <f>U169</f>
        <v>0</v>
      </c>
      <c r="AJ169" s="28"/>
      <c r="AK169" s="45">
        <f>Z167-$AJ$4/3+E168+J168+O168+X167</f>
        <v>-100</v>
      </c>
      <c r="AL169" s="45">
        <f>Z167-$AJ$4/3*2+E168+J168+O168+X167</f>
        <v>-200</v>
      </c>
      <c r="AM169" s="45">
        <f>Z167-$AJ$4+E168+J168+O168+X167</f>
        <v>-300</v>
      </c>
    </row>
    <row r="170" spans="30:39" ht="16.5" customHeight="1">
      <c r="AK170" s="46"/>
      <c r="AL170" s="46"/>
      <c r="AM170" s="46"/>
    </row>
    <row r="171" spans="30:39" ht="16.5" customHeight="1">
      <c r="AD171" s="28">
        <f>B171</f>
        <v>0</v>
      </c>
      <c r="AE171" s="28">
        <f>G171</f>
        <v>0</v>
      </c>
      <c r="AF171" s="28">
        <f>L171</f>
        <v>0</v>
      </c>
      <c r="AG171" s="28">
        <f>Q171</f>
        <v>0</v>
      </c>
      <c r="AH171" s="28">
        <f>S171</f>
        <v>0</v>
      </c>
      <c r="AI171" s="28">
        <f>U171</f>
        <v>0</v>
      </c>
      <c r="AJ171" s="28"/>
      <c r="AK171" s="45">
        <f>Z169-$AJ$4/3+E170+J170+O170+X169</f>
        <v>-100</v>
      </c>
      <c r="AL171" s="45">
        <f>Z169-$AJ$4/3*2+E170+J170+O170+X169</f>
        <v>-200</v>
      </c>
      <c r="AM171" s="45">
        <f>Z169-$AJ$4+E170+J170+O170+X169</f>
        <v>-300</v>
      </c>
    </row>
    <row r="172" spans="30:39" ht="16.5" customHeight="1">
      <c r="AK172" s="46"/>
      <c r="AL172" s="46"/>
      <c r="AM172" s="46"/>
    </row>
    <row r="173" spans="30:39" ht="16.5" customHeight="1">
      <c r="AD173" s="28">
        <f>B173</f>
        <v>0</v>
      </c>
      <c r="AE173" s="28">
        <f>G173</f>
        <v>0</v>
      </c>
      <c r="AF173" s="28">
        <f>L173</f>
        <v>0</v>
      </c>
      <c r="AG173" s="28">
        <f>Q173</f>
        <v>0</v>
      </c>
      <c r="AH173" s="28">
        <f>S173</f>
        <v>0</v>
      </c>
      <c r="AI173" s="28">
        <f>U173</f>
        <v>0</v>
      </c>
      <c r="AJ173" s="28"/>
      <c r="AK173" s="45">
        <f>Z171-$AJ$4/3+E172+J172+O172+X171</f>
        <v>-100</v>
      </c>
      <c r="AL173" s="45">
        <f>Z171-$AJ$4/3*2+E172+J172+O172+X171</f>
        <v>-200</v>
      </c>
      <c r="AM173" s="45">
        <f>Z171-$AJ$4+E172+J172+O172+X171</f>
        <v>-300</v>
      </c>
    </row>
    <row r="174" spans="30:39" ht="16.5" customHeight="1">
      <c r="AK174" s="46"/>
      <c r="AL174" s="46"/>
      <c r="AM174" s="46"/>
    </row>
    <row r="175" spans="30:39" ht="16.5" customHeight="1">
      <c r="AD175" s="28">
        <f>B175</f>
        <v>0</v>
      </c>
      <c r="AE175" s="28">
        <f>G175</f>
        <v>0</v>
      </c>
      <c r="AF175" s="28">
        <f>L175</f>
        <v>0</v>
      </c>
      <c r="AG175" s="28">
        <f>Q175</f>
        <v>0</v>
      </c>
      <c r="AH175" s="28">
        <f>S175</f>
        <v>0</v>
      </c>
      <c r="AI175" s="28">
        <f>U175</f>
        <v>0</v>
      </c>
      <c r="AJ175" s="28"/>
      <c r="AK175" s="45">
        <f>Z173-$AJ$4/3+E174+J174+O174+X173</f>
        <v>-100</v>
      </c>
      <c r="AL175" s="45">
        <f>Z173-$AJ$4/3*2+E174+J174+O174+X173</f>
        <v>-200</v>
      </c>
      <c r="AM175" s="45">
        <f>Z173-$AJ$4+E174+J174+O174+X173</f>
        <v>-300</v>
      </c>
    </row>
    <row r="176" spans="30:39" ht="16.5" customHeight="1">
      <c r="AK176" s="46"/>
      <c r="AL176" s="46"/>
      <c r="AM176" s="46"/>
    </row>
    <row r="177" spans="30:39" ht="16.5" customHeight="1">
      <c r="AD177" s="28">
        <f>B177</f>
        <v>0</v>
      </c>
      <c r="AE177" s="28">
        <f>G177</f>
        <v>0</v>
      </c>
      <c r="AF177" s="28">
        <f>L177</f>
        <v>0</v>
      </c>
      <c r="AG177" s="28">
        <f>Q177</f>
        <v>0</v>
      </c>
      <c r="AH177" s="28">
        <f>S177</f>
        <v>0</v>
      </c>
      <c r="AI177" s="28">
        <f>U177</f>
        <v>0</v>
      </c>
      <c r="AJ177" s="28"/>
      <c r="AK177" s="45">
        <f>Z175-$AJ$4/3+E176+J176+O176+X175</f>
        <v>-100</v>
      </c>
      <c r="AL177" s="45">
        <f>Z175-$AJ$4/3*2+E176+J176+O176+X175</f>
        <v>-200</v>
      </c>
      <c r="AM177" s="45">
        <f>Z175-$AJ$4+E176+J176+O176+X175</f>
        <v>-300</v>
      </c>
    </row>
    <row r="178" spans="30:39" ht="16.5" customHeight="1">
      <c r="AK178" s="46"/>
      <c r="AL178" s="46"/>
      <c r="AM178" s="46"/>
    </row>
    <row r="179" spans="30:39" ht="16.5" customHeight="1">
      <c r="AD179" s="28">
        <f>B179</f>
        <v>0</v>
      </c>
      <c r="AE179" s="28">
        <f>G179</f>
        <v>0</v>
      </c>
      <c r="AF179" s="28">
        <f>L179</f>
        <v>0</v>
      </c>
      <c r="AG179" s="28">
        <f>Q179</f>
        <v>0</v>
      </c>
      <c r="AH179" s="28">
        <f>S179</f>
        <v>0</v>
      </c>
      <c r="AI179" s="28">
        <f>U179</f>
        <v>0</v>
      </c>
      <c r="AJ179" s="28"/>
      <c r="AK179" s="45">
        <f>Z177-$AJ$4/3+E178+J178+O178+X177</f>
        <v>-100</v>
      </c>
      <c r="AL179" s="45">
        <f>Z177-$AJ$4/3*2+E178+J178+O178+X177</f>
        <v>-200</v>
      </c>
      <c r="AM179" s="45">
        <f>Z177-$AJ$4+E178+J178+O178+X177</f>
        <v>-300</v>
      </c>
    </row>
    <row r="180" spans="30:39" ht="16.5" customHeight="1">
      <c r="AK180" s="46"/>
      <c r="AL180" s="46"/>
      <c r="AM180" s="46"/>
    </row>
    <row r="181" spans="30:39" ht="16.5" customHeight="1">
      <c r="AD181" s="28">
        <f>B181</f>
        <v>0</v>
      </c>
      <c r="AE181" s="28">
        <f>G181</f>
        <v>0</v>
      </c>
      <c r="AF181" s="28">
        <f>L181</f>
        <v>0</v>
      </c>
      <c r="AG181" s="28">
        <f>Q181</f>
        <v>0</v>
      </c>
      <c r="AH181" s="28">
        <f>S181</f>
        <v>0</v>
      </c>
      <c r="AI181" s="28">
        <f>U181</f>
        <v>0</v>
      </c>
      <c r="AJ181" s="28"/>
      <c r="AK181" s="45">
        <f>Z179-$AJ$4/3+E180+J180+O180+X179</f>
        <v>-100</v>
      </c>
      <c r="AL181" s="45">
        <f>Z179-$AJ$4/3*2+E180+J180+O180+X179</f>
        <v>-200</v>
      </c>
      <c r="AM181" s="45">
        <f>Z179-$AJ$4+E180+J180+O180+X179</f>
        <v>-300</v>
      </c>
    </row>
    <row r="182" spans="30:39" ht="16.5" customHeight="1">
      <c r="AK182" s="46"/>
      <c r="AL182" s="46"/>
      <c r="AM182" s="46"/>
    </row>
    <row r="183" spans="30:39" ht="16.5" customHeight="1">
      <c r="AD183" s="28">
        <f>B183</f>
        <v>0</v>
      </c>
      <c r="AE183" s="28">
        <f>G183</f>
        <v>0</v>
      </c>
      <c r="AF183" s="28">
        <f>L183</f>
        <v>0</v>
      </c>
      <c r="AG183" s="28">
        <f>Q183</f>
        <v>0</v>
      </c>
      <c r="AH183" s="28">
        <f>S183</f>
        <v>0</v>
      </c>
      <c r="AI183" s="28">
        <f>U183</f>
        <v>0</v>
      </c>
      <c r="AJ183" s="28"/>
      <c r="AK183" s="45">
        <f>Z181-$AJ$4/3+E182+J182+O182+X181</f>
        <v>-100</v>
      </c>
      <c r="AL183" s="45">
        <f>Z181-$AJ$4/3*2+E182+J182+O182+X181</f>
        <v>-200</v>
      </c>
      <c r="AM183" s="45">
        <f>Z181-$AJ$4+E182+J182+O182+X181</f>
        <v>-300</v>
      </c>
    </row>
    <row r="184" spans="30:39" ht="16.5" customHeight="1">
      <c r="AK184" s="46"/>
      <c r="AL184" s="46"/>
      <c r="AM184" s="46"/>
    </row>
    <row r="185" spans="30:39" ht="16.5" customHeight="1">
      <c r="AD185" s="28">
        <f>B185</f>
        <v>0</v>
      </c>
      <c r="AE185" s="28">
        <f>G185</f>
        <v>0</v>
      </c>
      <c r="AF185" s="28">
        <f>L185</f>
        <v>0</v>
      </c>
      <c r="AG185" s="28">
        <f>Q185</f>
        <v>0</v>
      </c>
      <c r="AH185" s="28">
        <f>S185</f>
        <v>0</v>
      </c>
      <c r="AI185" s="28">
        <f>U185</f>
        <v>0</v>
      </c>
      <c r="AJ185" s="28"/>
      <c r="AK185" s="45">
        <f>Z183-$AJ$4/3+E184+J184+O184+X183</f>
        <v>-100</v>
      </c>
      <c r="AL185" s="45">
        <f>Z183-$AJ$4/3*2+E184+J184+O184+X183</f>
        <v>-200</v>
      </c>
      <c r="AM185" s="45">
        <f>Z183-$AJ$4+E184+J184+O184+X183</f>
        <v>-300</v>
      </c>
    </row>
    <row r="186" spans="30:39" ht="16.5" customHeight="1">
      <c r="AK186" s="46"/>
      <c r="AL186" s="46"/>
      <c r="AM186" s="46"/>
    </row>
    <row r="187" spans="30:39" ht="16.5" customHeight="1">
      <c r="AD187" s="28">
        <f>B187</f>
        <v>0</v>
      </c>
      <c r="AE187" s="28">
        <f>G187</f>
        <v>0</v>
      </c>
      <c r="AF187" s="28">
        <f>L187</f>
        <v>0</v>
      </c>
      <c r="AG187" s="28">
        <f>Q187</f>
        <v>0</v>
      </c>
      <c r="AH187" s="28">
        <f>S187</f>
        <v>0</v>
      </c>
      <c r="AI187" s="28">
        <f>U187</f>
        <v>0</v>
      </c>
      <c r="AJ187" s="28"/>
      <c r="AK187" s="45">
        <f>Z185-$AJ$4/3+E186+J186+O186+X185</f>
        <v>-100</v>
      </c>
      <c r="AL187" s="45">
        <f>Z185-$AJ$4/3*2+E186+J186+O186+X185</f>
        <v>-200</v>
      </c>
      <c r="AM187" s="45">
        <f>Z185-$AJ$4+E186+J186+O186+X185</f>
        <v>-300</v>
      </c>
    </row>
    <row r="188" spans="30:39" ht="16.5" customHeight="1">
      <c r="AK188" s="46"/>
      <c r="AL188" s="46"/>
      <c r="AM188" s="46"/>
    </row>
    <row r="189" spans="30:39" ht="16.5" customHeight="1">
      <c r="AD189" s="28">
        <f>B189</f>
        <v>0</v>
      </c>
      <c r="AE189" s="28">
        <f>G189</f>
        <v>0</v>
      </c>
      <c r="AF189" s="28">
        <f>L189</f>
        <v>0</v>
      </c>
      <c r="AG189" s="28">
        <f>Q189</f>
        <v>0</v>
      </c>
      <c r="AH189" s="28">
        <f>S189</f>
        <v>0</v>
      </c>
      <c r="AI189" s="28">
        <f>U189</f>
        <v>0</v>
      </c>
      <c r="AJ189" s="28"/>
      <c r="AK189" s="45">
        <f>Z187-$AJ$4/3+E188+J188+O188+X187</f>
        <v>-100</v>
      </c>
      <c r="AL189" s="45">
        <f>Z187-$AJ$4/3*2+E188+J188+O188+X187</f>
        <v>-200</v>
      </c>
      <c r="AM189" s="45">
        <f>Z187-$AJ$4+E188+J188+O188+X187</f>
        <v>-300</v>
      </c>
    </row>
    <row r="190" spans="30:39" ht="16.5" customHeight="1">
      <c r="AK190" s="46"/>
      <c r="AL190" s="46"/>
      <c r="AM190" s="46"/>
    </row>
    <row r="191" spans="30:39" ht="16.5" customHeight="1">
      <c r="AD191" s="28">
        <f>B191</f>
        <v>0</v>
      </c>
      <c r="AE191" s="28">
        <f>G191</f>
        <v>0</v>
      </c>
      <c r="AF191" s="28">
        <f>L191</f>
        <v>0</v>
      </c>
      <c r="AG191" s="28">
        <f>Q191</f>
        <v>0</v>
      </c>
      <c r="AH191" s="28">
        <f>S191</f>
        <v>0</v>
      </c>
      <c r="AI191" s="28">
        <f>U191</f>
        <v>0</v>
      </c>
      <c r="AJ191" s="28"/>
      <c r="AK191" s="45">
        <f>Z189-$AJ$4/3+E190+J190+O190+X189</f>
        <v>-100</v>
      </c>
      <c r="AL191" s="45">
        <f>Z189-$AJ$4/3*2+E190+J190+O190+X189</f>
        <v>-200</v>
      </c>
      <c r="AM191" s="45">
        <f>Z189-$AJ$4+E190+J190+O190+X189</f>
        <v>-300</v>
      </c>
    </row>
    <row r="192" spans="30:39" ht="16.5" customHeight="1">
      <c r="AK192" s="46"/>
      <c r="AL192" s="46"/>
      <c r="AM192" s="46"/>
    </row>
    <row r="193" spans="30:39" ht="16.5" customHeight="1">
      <c r="AD193" s="28">
        <f>B193</f>
        <v>0</v>
      </c>
      <c r="AE193" s="28">
        <f>G193</f>
        <v>0</v>
      </c>
      <c r="AF193" s="28">
        <f>L193</f>
        <v>0</v>
      </c>
      <c r="AG193" s="28">
        <f>Q193</f>
        <v>0</v>
      </c>
      <c r="AH193" s="28">
        <f>S193</f>
        <v>0</v>
      </c>
      <c r="AI193" s="28">
        <f>U193</f>
        <v>0</v>
      </c>
      <c r="AJ193" s="28"/>
      <c r="AK193" s="45">
        <f>Z191-$AJ$4/3+E192+J192+O192+X191</f>
        <v>-100</v>
      </c>
      <c r="AL193" s="45">
        <f>Z191-$AJ$4/3*2+E192+J192+O192+X191</f>
        <v>-200</v>
      </c>
      <c r="AM193" s="45">
        <f>Z191-$AJ$4+E192+J192+O192+X191</f>
        <v>-300</v>
      </c>
    </row>
    <row r="194" spans="30:39" ht="16.5" customHeight="1">
      <c r="AK194" s="46"/>
      <c r="AL194" s="46"/>
      <c r="AM194" s="46"/>
    </row>
    <row r="195" spans="30:39" ht="16.5" customHeight="1">
      <c r="AD195" s="28">
        <f>B195</f>
        <v>0</v>
      </c>
      <c r="AE195" s="28">
        <f>G195</f>
        <v>0</v>
      </c>
      <c r="AF195" s="28">
        <f>L195</f>
        <v>0</v>
      </c>
      <c r="AG195" s="28">
        <f>Q195</f>
        <v>0</v>
      </c>
      <c r="AH195" s="28">
        <f>S195</f>
        <v>0</v>
      </c>
      <c r="AI195" s="28">
        <f>U195</f>
        <v>0</v>
      </c>
      <c r="AJ195" s="28"/>
      <c r="AK195" s="45">
        <f>Z193-$AJ$4/3+E194+J194+O194+X193</f>
        <v>-100</v>
      </c>
      <c r="AL195" s="45">
        <f>Z193-$AJ$4/3*2+E194+J194+O194+X193</f>
        <v>-200</v>
      </c>
      <c r="AM195" s="45">
        <f>Z193-$AJ$4+E194+J194+O194+X193</f>
        <v>-300</v>
      </c>
    </row>
    <row r="196" spans="30:39" ht="16.5" customHeight="1">
      <c r="AK196" s="46"/>
      <c r="AL196" s="46"/>
      <c r="AM196" s="46"/>
    </row>
    <row r="197" spans="30:39" ht="16.5" customHeight="1">
      <c r="AD197" s="28">
        <f>B197</f>
        <v>0</v>
      </c>
      <c r="AE197" s="28">
        <f>G197</f>
        <v>0</v>
      </c>
      <c r="AF197" s="28">
        <f>L197</f>
        <v>0</v>
      </c>
      <c r="AG197" s="28">
        <f>Q197</f>
        <v>0</v>
      </c>
      <c r="AH197" s="28">
        <f>S197</f>
        <v>0</v>
      </c>
      <c r="AI197" s="28">
        <f>U197</f>
        <v>0</v>
      </c>
      <c r="AJ197" s="28"/>
      <c r="AK197" s="45">
        <f>Z195-$AJ$4/3+E196+J196+O196+X195</f>
        <v>-100</v>
      </c>
      <c r="AL197" s="45">
        <f>Z195-$AJ$4/3*2+E196+J196+O196+X195</f>
        <v>-200</v>
      </c>
      <c r="AM197" s="45">
        <f>Z195-$AJ$4+E196+J196+O196+X195</f>
        <v>-300</v>
      </c>
    </row>
    <row r="198" spans="30:39" ht="16.5" customHeight="1">
      <c r="AK198" s="46"/>
      <c r="AL198" s="46"/>
      <c r="AM198" s="46"/>
    </row>
    <row r="199" spans="30:39" ht="16.5" customHeight="1">
      <c r="AD199" s="28">
        <f>B199</f>
        <v>0</v>
      </c>
      <c r="AE199" s="28">
        <f>G199</f>
        <v>0</v>
      </c>
      <c r="AF199" s="28">
        <f>L199</f>
        <v>0</v>
      </c>
      <c r="AG199" s="28">
        <f>Q199</f>
        <v>0</v>
      </c>
      <c r="AH199" s="28">
        <f>S199</f>
        <v>0</v>
      </c>
      <c r="AI199" s="28">
        <f>U199</f>
        <v>0</v>
      </c>
      <c r="AJ199" s="28"/>
      <c r="AK199" s="45">
        <f>Z197-$AJ$4/3+E198+J198+O198+X197</f>
        <v>-100</v>
      </c>
      <c r="AL199" s="45">
        <f>Z197-$AJ$4/3*2+E198+J198+O198+X197</f>
        <v>-200</v>
      </c>
      <c r="AM199" s="45">
        <f>Z197-$AJ$4+E198+J198+O198+X197</f>
        <v>-300</v>
      </c>
    </row>
    <row r="200" spans="30:39" ht="16.5" customHeight="1">
      <c r="AK200" s="46"/>
      <c r="AL200" s="46"/>
      <c r="AM200" s="46"/>
    </row>
  </sheetData>
  <mergeCells count="558">
    <mergeCell ref="Q1:R1"/>
    <mergeCell ref="S1:T1"/>
    <mergeCell ref="U1:V1"/>
    <mergeCell ref="A1:A2"/>
    <mergeCell ref="X1:X2"/>
    <mergeCell ref="X5:X6"/>
    <mergeCell ref="C1:F1"/>
    <mergeCell ref="H1:K1"/>
    <mergeCell ref="M1:P1"/>
    <mergeCell ref="C3:F3"/>
    <mergeCell ref="A3:A4"/>
    <mergeCell ref="Q3:R3"/>
    <mergeCell ref="S3:T3"/>
    <mergeCell ref="U3:V3"/>
    <mergeCell ref="A11:A12"/>
    <mergeCell ref="A13:A14"/>
    <mergeCell ref="X7:X8"/>
    <mergeCell ref="X9:X10"/>
    <mergeCell ref="X11:X12"/>
    <mergeCell ref="H5:K5"/>
    <mergeCell ref="A5:A6"/>
    <mergeCell ref="A7:A8"/>
    <mergeCell ref="A9:A10"/>
    <mergeCell ref="M5:P5"/>
    <mergeCell ref="M7:P7"/>
    <mergeCell ref="M9:P9"/>
    <mergeCell ref="M11:P11"/>
    <mergeCell ref="M13:P13"/>
    <mergeCell ref="A27:A28"/>
    <mergeCell ref="A29:A30"/>
    <mergeCell ref="A31:A32"/>
    <mergeCell ref="A35:A36"/>
    <mergeCell ref="A37:A38"/>
    <mergeCell ref="A39:A40"/>
    <mergeCell ref="A15:A16"/>
    <mergeCell ref="A17:A18"/>
    <mergeCell ref="A19:A20"/>
    <mergeCell ref="A21:A22"/>
    <mergeCell ref="A23:A24"/>
    <mergeCell ref="A25:A26"/>
    <mergeCell ref="A33:A34"/>
    <mergeCell ref="A41:A42"/>
    <mergeCell ref="A43:A44"/>
    <mergeCell ref="X35:X36"/>
    <mergeCell ref="X37:X38"/>
    <mergeCell ref="X39:X40"/>
    <mergeCell ref="X41:X42"/>
    <mergeCell ref="X43:X44"/>
    <mergeCell ref="Q39:R39"/>
    <mergeCell ref="S39:T39"/>
    <mergeCell ref="U39:V39"/>
    <mergeCell ref="H43:K43"/>
    <mergeCell ref="AA1:AA2"/>
    <mergeCell ref="X3:X4"/>
    <mergeCell ref="Y3:Y4"/>
    <mergeCell ref="AA3:AA4"/>
    <mergeCell ref="AA5:AA6"/>
    <mergeCell ref="Y7:Y8"/>
    <mergeCell ref="S23:T23"/>
    <mergeCell ref="U23:V23"/>
    <mergeCell ref="AD1:AI2"/>
    <mergeCell ref="S7:T7"/>
    <mergeCell ref="U7:V7"/>
    <mergeCell ref="S9:T9"/>
    <mergeCell ref="U9:V9"/>
    <mergeCell ref="S15:T15"/>
    <mergeCell ref="U15:V15"/>
    <mergeCell ref="S17:T17"/>
    <mergeCell ref="U17:V17"/>
    <mergeCell ref="S13:T13"/>
    <mergeCell ref="U13:V13"/>
    <mergeCell ref="S11:T11"/>
    <mergeCell ref="U11:V11"/>
    <mergeCell ref="U5:V5"/>
    <mergeCell ref="S5:T5"/>
    <mergeCell ref="Y9:Y10"/>
    <mergeCell ref="C43:F43"/>
    <mergeCell ref="H21:K21"/>
    <mergeCell ref="Q37:R37"/>
    <mergeCell ref="S37:T37"/>
    <mergeCell ref="U37:V37"/>
    <mergeCell ref="Q15:R15"/>
    <mergeCell ref="Q17:R17"/>
    <mergeCell ref="Q13:R13"/>
    <mergeCell ref="H13:K13"/>
    <mergeCell ref="C33:F33"/>
    <mergeCell ref="C35:F35"/>
    <mergeCell ref="C37:F37"/>
    <mergeCell ref="C39:F39"/>
    <mergeCell ref="C41:F41"/>
    <mergeCell ref="H41:K41"/>
    <mergeCell ref="C17:F17"/>
    <mergeCell ref="C25:F25"/>
    <mergeCell ref="C27:F27"/>
    <mergeCell ref="C29:F29"/>
    <mergeCell ref="C31:F31"/>
    <mergeCell ref="H37:K37"/>
    <mergeCell ref="H39:K39"/>
    <mergeCell ref="H31:K31"/>
    <mergeCell ref="H33:K33"/>
    <mergeCell ref="H35:K35"/>
    <mergeCell ref="W39:W40"/>
    <mergeCell ref="Y35:Y36"/>
    <mergeCell ref="M15:P15"/>
    <mergeCell ref="M21:P21"/>
    <mergeCell ref="M23:P23"/>
    <mergeCell ref="M25:P25"/>
    <mergeCell ref="M27:P27"/>
    <mergeCell ref="M29:P29"/>
    <mergeCell ref="M31:P31"/>
    <mergeCell ref="M33:P33"/>
    <mergeCell ref="S31:T31"/>
    <mergeCell ref="U31:V31"/>
    <mergeCell ref="Q33:R33"/>
    <mergeCell ref="S33:T33"/>
    <mergeCell ref="U33:V33"/>
    <mergeCell ref="Q35:R35"/>
    <mergeCell ref="X15:X16"/>
    <mergeCell ref="Q25:R25"/>
    <mergeCell ref="Q31:R31"/>
    <mergeCell ref="Z35:Z36"/>
    <mergeCell ref="Z37:Z38"/>
    <mergeCell ref="Z39:Z40"/>
    <mergeCell ref="Z41:Z42"/>
    <mergeCell ref="Z43:Z44"/>
    <mergeCell ref="M35:P35"/>
    <mergeCell ref="M37:P37"/>
    <mergeCell ref="M39:P39"/>
    <mergeCell ref="M41:P41"/>
    <mergeCell ref="M43:P43"/>
    <mergeCell ref="Q43:R43"/>
    <mergeCell ref="S43:T43"/>
    <mergeCell ref="U43:V43"/>
    <mergeCell ref="S35:T35"/>
    <mergeCell ref="U35:V35"/>
    <mergeCell ref="Q41:R41"/>
    <mergeCell ref="S41:T41"/>
    <mergeCell ref="U41:V41"/>
    <mergeCell ref="W41:W42"/>
    <mergeCell ref="W43:W44"/>
    <mergeCell ref="W35:W36"/>
    <mergeCell ref="W37:W38"/>
    <mergeCell ref="AA29:AA30"/>
    <mergeCell ref="X31:X32"/>
    <mergeCell ref="X33:X34"/>
    <mergeCell ref="X19:X20"/>
    <mergeCell ref="X21:X22"/>
    <mergeCell ref="X23:X24"/>
    <mergeCell ref="X25:X26"/>
    <mergeCell ref="X27:X28"/>
    <mergeCell ref="W25:W26"/>
    <mergeCell ref="AA19:AA20"/>
    <mergeCell ref="AA21:AA22"/>
    <mergeCell ref="AA23:AA24"/>
    <mergeCell ref="AA25:AA26"/>
    <mergeCell ref="Z21:Z22"/>
    <mergeCell ref="Z23:Z24"/>
    <mergeCell ref="Z33:Z34"/>
    <mergeCell ref="S25:T25"/>
    <mergeCell ref="U25:V25"/>
    <mergeCell ref="Q27:R27"/>
    <mergeCell ref="S27:T27"/>
    <mergeCell ref="U27:V27"/>
    <mergeCell ref="Q29:R29"/>
    <mergeCell ref="S29:T29"/>
    <mergeCell ref="U29:V29"/>
    <mergeCell ref="H15:K15"/>
    <mergeCell ref="H17:K17"/>
    <mergeCell ref="H19:K19"/>
    <mergeCell ref="M17:P17"/>
    <mergeCell ref="M19:P19"/>
    <mergeCell ref="H23:K23"/>
    <mergeCell ref="H25:K25"/>
    <mergeCell ref="H27:K27"/>
    <mergeCell ref="H29:K29"/>
    <mergeCell ref="S21:T21"/>
    <mergeCell ref="U21:V21"/>
    <mergeCell ref="Q23:R23"/>
    <mergeCell ref="Q19:R19"/>
    <mergeCell ref="S19:T19"/>
    <mergeCell ref="U19:V19"/>
    <mergeCell ref="Q21:R21"/>
    <mergeCell ref="Z1:Z2"/>
    <mergeCell ref="Z3:Z4"/>
    <mergeCell ref="Z5:Z6"/>
    <mergeCell ref="Z17:Z18"/>
    <mergeCell ref="Z19:Z20"/>
    <mergeCell ref="X17:X18"/>
    <mergeCell ref="C7:F7"/>
    <mergeCell ref="C9:F9"/>
    <mergeCell ref="C11:F11"/>
    <mergeCell ref="C13:F13"/>
    <mergeCell ref="C15:F15"/>
    <mergeCell ref="Y1:Y2"/>
    <mergeCell ref="Q7:R7"/>
    <mergeCell ref="Q9:R9"/>
    <mergeCell ref="Q11:R11"/>
    <mergeCell ref="H3:K3"/>
    <mergeCell ref="M3:P3"/>
    <mergeCell ref="C5:F5"/>
    <mergeCell ref="Q5:R5"/>
    <mergeCell ref="W19:W20"/>
    <mergeCell ref="W11:W12"/>
    <mergeCell ref="H7:K7"/>
    <mergeCell ref="H9:K9"/>
    <mergeCell ref="H11:K11"/>
    <mergeCell ref="Z15:Z16"/>
    <mergeCell ref="AA13:AA14"/>
    <mergeCell ref="AA15:AA16"/>
    <mergeCell ref="AA17:AA18"/>
    <mergeCell ref="AA7:AA8"/>
    <mergeCell ref="AA9:AA10"/>
    <mergeCell ref="AA11:AA12"/>
    <mergeCell ref="C19:F19"/>
    <mergeCell ref="C23:F23"/>
    <mergeCell ref="W21:W22"/>
    <mergeCell ref="C21:F21"/>
    <mergeCell ref="X13:X14"/>
    <mergeCell ref="AK7:AK8"/>
    <mergeCell ref="AL7:AL8"/>
    <mergeCell ref="AM7:AM8"/>
    <mergeCell ref="W1:W2"/>
    <mergeCell ref="W3:W4"/>
    <mergeCell ref="W5:W6"/>
    <mergeCell ref="W7:W8"/>
    <mergeCell ref="W9:W10"/>
    <mergeCell ref="W23:W24"/>
    <mergeCell ref="Y13:Y14"/>
    <mergeCell ref="Y15:Y16"/>
    <mergeCell ref="AK21:AK22"/>
    <mergeCell ref="AK23:AK24"/>
    <mergeCell ref="AL21:AL22"/>
    <mergeCell ref="AL23:AL24"/>
    <mergeCell ref="AM21:AM22"/>
    <mergeCell ref="AM23:AM24"/>
    <mergeCell ref="Y11:Y12"/>
    <mergeCell ref="Y17:Y18"/>
    <mergeCell ref="AB3:AC3"/>
    <mergeCell ref="Z7:Z8"/>
    <mergeCell ref="Z9:Z10"/>
    <mergeCell ref="Z11:Z12"/>
    <mergeCell ref="Z13:Z14"/>
    <mergeCell ref="W27:W28"/>
    <mergeCell ref="W29:W30"/>
    <mergeCell ref="W31:W32"/>
    <mergeCell ref="W33:W34"/>
    <mergeCell ref="Y5:Y6"/>
    <mergeCell ref="W13:W14"/>
    <mergeCell ref="W15:W16"/>
    <mergeCell ref="W17:W18"/>
    <mergeCell ref="X29:X30"/>
    <mergeCell ref="Y37:Y38"/>
    <mergeCell ref="Y39:Y40"/>
    <mergeCell ref="Y41:Y42"/>
    <mergeCell ref="Y43:Y44"/>
    <mergeCell ref="AA43:AA44"/>
    <mergeCell ref="Z31:Z32"/>
    <mergeCell ref="Y19:Y20"/>
    <mergeCell ref="Y21:Y22"/>
    <mergeCell ref="Y23:Y24"/>
    <mergeCell ref="Y25:Y26"/>
    <mergeCell ref="Y27:Y28"/>
    <mergeCell ref="Y29:Y30"/>
    <mergeCell ref="Y31:Y32"/>
    <mergeCell ref="Y33:Y34"/>
    <mergeCell ref="AA31:AA32"/>
    <mergeCell ref="AA33:AA34"/>
    <mergeCell ref="AA35:AA36"/>
    <mergeCell ref="AA37:AA38"/>
    <mergeCell ref="AA39:AA40"/>
    <mergeCell ref="AA41:AA42"/>
    <mergeCell ref="Z27:Z28"/>
    <mergeCell ref="Z29:Z30"/>
    <mergeCell ref="Z25:Z26"/>
    <mergeCell ref="AA27:AA28"/>
    <mergeCell ref="AK25:AK26"/>
    <mergeCell ref="AK27:AK28"/>
    <mergeCell ref="AK29:AK30"/>
    <mergeCell ref="AK31:AK32"/>
    <mergeCell ref="AK9:AK10"/>
    <mergeCell ref="AK11:AK12"/>
    <mergeCell ref="AK13:AK14"/>
    <mergeCell ref="AK15:AK16"/>
    <mergeCell ref="AK17:AK18"/>
    <mergeCell ref="AK19:AK20"/>
    <mergeCell ref="AK45:AK46"/>
    <mergeCell ref="AK47:AK48"/>
    <mergeCell ref="AK49:AK50"/>
    <mergeCell ref="AK51:AK52"/>
    <mergeCell ref="AK53:AK54"/>
    <mergeCell ref="AK55:AK56"/>
    <mergeCell ref="AK33:AK34"/>
    <mergeCell ref="AK35:AK36"/>
    <mergeCell ref="AK37:AK38"/>
    <mergeCell ref="AK39:AK40"/>
    <mergeCell ref="AK41:AK42"/>
    <mergeCell ref="AK43:AK44"/>
    <mergeCell ref="AK69:AK70"/>
    <mergeCell ref="AK71:AK72"/>
    <mergeCell ref="AK73:AK74"/>
    <mergeCell ref="AK75:AK76"/>
    <mergeCell ref="AK77:AK78"/>
    <mergeCell ref="AK79:AK80"/>
    <mergeCell ref="AK57:AK58"/>
    <mergeCell ref="AK59:AK60"/>
    <mergeCell ref="AK61:AK62"/>
    <mergeCell ref="AK63:AK64"/>
    <mergeCell ref="AK65:AK66"/>
    <mergeCell ref="AK67:AK68"/>
    <mergeCell ref="AK93:AK94"/>
    <mergeCell ref="AK95:AK96"/>
    <mergeCell ref="AK97:AK98"/>
    <mergeCell ref="AK99:AK100"/>
    <mergeCell ref="AK101:AK102"/>
    <mergeCell ref="AK103:AK104"/>
    <mergeCell ref="AK81:AK82"/>
    <mergeCell ref="AK83:AK84"/>
    <mergeCell ref="AK85:AK86"/>
    <mergeCell ref="AK87:AK88"/>
    <mergeCell ref="AK89:AK90"/>
    <mergeCell ref="AK91:AK92"/>
    <mergeCell ref="AK117:AK118"/>
    <mergeCell ref="AK119:AK120"/>
    <mergeCell ref="AK121:AK122"/>
    <mergeCell ref="AK123:AK124"/>
    <mergeCell ref="AK125:AK126"/>
    <mergeCell ref="AK127:AK128"/>
    <mergeCell ref="AK105:AK106"/>
    <mergeCell ref="AK107:AK108"/>
    <mergeCell ref="AK109:AK110"/>
    <mergeCell ref="AK111:AK112"/>
    <mergeCell ref="AK113:AK114"/>
    <mergeCell ref="AK115:AK116"/>
    <mergeCell ref="AK141:AK142"/>
    <mergeCell ref="AK143:AK144"/>
    <mergeCell ref="AK145:AK146"/>
    <mergeCell ref="AK147:AK148"/>
    <mergeCell ref="AK149:AK150"/>
    <mergeCell ref="AK151:AK152"/>
    <mergeCell ref="AK129:AK130"/>
    <mergeCell ref="AK131:AK132"/>
    <mergeCell ref="AK133:AK134"/>
    <mergeCell ref="AK135:AK136"/>
    <mergeCell ref="AK137:AK138"/>
    <mergeCell ref="AK139:AK140"/>
    <mergeCell ref="AK165:AK166"/>
    <mergeCell ref="AK167:AK168"/>
    <mergeCell ref="AK169:AK170"/>
    <mergeCell ref="AK171:AK172"/>
    <mergeCell ref="AK173:AK174"/>
    <mergeCell ref="AK175:AK176"/>
    <mergeCell ref="AK153:AK154"/>
    <mergeCell ref="AK155:AK156"/>
    <mergeCell ref="AK157:AK158"/>
    <mergeCell ref="AK159:AK160"/>
    <mergeCell ref="AK161:AK162"/>
    <mergeCell ref="AK163:AK164"/>
    <mergeCell ref="AK189:AK190"/>
    <mergeCell ref="AK191:AK192"/>
    <mergeCell ref="AK193:AK194"/>
    <mergeCell ref="AK195:AK196"/>
    <mergeCell ref="AK197:AK198"/>
    <mergeCell ref="AK199:AK200"/>
    <mergeCell ref="AK177:AK178"/>
    <mergeCell ref="AK179:AK180"/>
    <mergeCell ref="AK181:AK182"/>
    <mergeCell ref="AK183:AK184"/>
    <mergeCell ref="AK185:AK186"/>
    <mergeCell ref="AK187:AK188"/>
    <mergeCell ref="AL25:AL26"/>
    <mergeCell ref="AL27:AL28"/>
    <mergeCell ref="AL29:AL30"/>
    <mergeCell ref="AL31:AL32"/>
    <mergeCell ref="AL9:AL10"/>
    <mergeCell ref="AL11:AL12"/>
    <mergeCell ref="AL13:AL14"/>
    <mergeCell ref="AL15:AL16"/>
    <mergeCell ref="AL17:AL18"/>
    <mergeCell ref="AL19:AL20"/>
    <mergeCell ref="AL45:AL46"/>
    <mergeCell ref="AL47:AL48"/>
    <mergeCell ref="AL49:AL50"/>
    <mergeCell ref="AL51:AL52"/>
    <mergeCell ref="AL53:AL54"/>
    <mergeCell ref="AL55:AL56"/>
    <mergeCell ref="AL33:AL34"/>
    <mergeCell ref="AL35:AL36"/>
    <mergeCell ref="AL37:AL38"/>
    <mergeCell ref="AL39:AL40"/>
    <mergeCell ref="AL41:AL42"/>
    <mergeCell ref="AL43:AL44"/>
    <mergeCell ref="AL69:AL70"/>
    <mergeCell ref="AL71:AL72"/>
    <mergeCell ref="AL73:AL74"/>
    <mergeCell ref="AL75:AL76"/>
    <mergeCell ref="AL77:AL78"/>
    <mergeCell ref="AL79:AL80"/>
    <mergeCell ref="AL57:AL58"/>
    <mergeCell ref="AL59:AL60"/>
    <mergeCell ref="AL61:AL62"/>
    <mergeCell ref="AL63:AL64"/>
    <mergeCell ref="AL65:AL66"/>
    <mergeCell ref="AL67:AL68"/>
    <mergeCell ref="AL93:AL94"/>
    <mergeCell ref="AL95:AL96"/>
    <mergeCell ref="AL97:AL98"/>
    <mergeCell ref="AL99:AL100"/>
    <mergeCell ref="AL101:AL102"/>
    <mergeCell ref="AL103:AL104"/>
    <mergeCell ref="AL81:AL82"/>
    <mergeCell ref="AL83:AL84"/>
    <mergeCell ref="AL85:AL86"/>
    <mergeCell ref="AL87:AL88"/>
    <mergeCell ref="AL89:AL90"/>
    <mergeCell ref="AL91:AL92"/>
    <mergeCell ref="AL117:AL118"/>
    <mergeCell ref="AL119:AL120"/>
    <mergeCell ref="AL121:AL122"/>
    <mergeCell ref="AL123:AL124"/>
    <mergeCell ref="AL125:AL126"/>
    <mergeCell ref="AL127:AL128"/>
    <mergeCell ref="AL105:AL106"/>
    <mergeCell ref="AL107:AL108"/>
    <mergeCell ref="AL109:AL110"/>
    <mergeCell ref="AL111:AL112"/>
    <mergeCell ref="AL113:AL114"/>
    <mergeCell ref="AL115:AL116"/>
    <mergeCell ref="AL141:AL142"/>
    <mergeCell ref="AL143:AL144"/>
    <mergeCell ref="AL145:AL146"/>
    <mergeCell ref="AL147:AL148"/>
    <mergeCell ref="AL149:AL150"/>
    <mergeCell ref="AL151:AL152"/>
    <mergeCell ref="AL129:AL130"/>
    <mergeCell ref="AL131:AL132"/>
    <mergeCell ref="AL133:AL134"/>
    <mergeCell ref="AL135:AL136"/>
    <mergeCell ref="AL137:AL138"/>
    <mergeCell ref="AL139:AL140"/>
    <mergeCell ref="AL165:AL166"/>
    <mergeCell ref="AL167:AL168"/>
    <mergeCell ref="AL169:AL170"/>
    <mergeCell ref="AL171:AL172"/>
    <mergeCell ref="AL173:AL174"/>
    <mergeCell ref="AL175:AL176"/>
    <mergeCell ref="AL153:AL154"/>
    <mergeCell ref="AL155:AL156"/>
    <mergeCell ref="AL157:AL158"/>
    <mergeCell ref="AL159:AL160"/>
    <mergeCell ref="AL161:AL162"/>
    <mergeCell ref="AL163:AL164"/>
    <mergeCell ref="AL189:AL190"/>
    <mergeCell ref="AL191:AL192"/>
    <mergeCell ref="AL193:AL194"/>
    <mergeCell ref="AL195:AL196"/>
    <mergeCell ref="AL197:AL198"/>
    <mergeCell ref="AL199:AL200"/>
    <mergeCell ref="AL177:AL178"/>
    <mergeCell ref="AL179:AL180"/>
    <mergeCell ref="AL181:AL182"/>
    <mergeCell ref="AL183:AL184"/>
    <mergeCell ref="AL185:AL186"/>
    <mergeCell ref="AL187:AL188"/>
    <mergeCell ref="AM25:AM26"/>
    <mergeCell ref="AM27:AM28"/>
    <mergeCell ref="AM29:AM30"/>
    <mergeCell ref="AM31:AM32"/>
    <mergeCell ref="AM9:AM10"/>
    <mergeCell ref="AM11:AM12"/>
    <mergeCell ref="AM13:AM14"/>
    <mergeCell ref="AM15:AM16"/>
    <mergeCell ref="AM17:AM18"/>
    <mergeCell ref="AM19:AM20"/>
    <mergeCell ref="AM45:AM46"/>
    <mergeCell ref="AM47:AM48"/>
    <mergeCell ref="AM49:AM50"/>
    <mergeCell ref="AM51:AM52"/>
    <mergeCell ref="AM53:AM54"/>
    <mergeCell ref="AM55:AM56"/>
    <mergeCell ref="AM33:AM34"/>
    <mergeCell ref="AM35:AM36"/>
    <mergeCell ref="AM37:AM38"/>
    <mergeCell ref="AM39:AM40"/>
    <mergeCell ref="AM41:AM42"/>
    <mergeCell ref="AM43:AM44"/>
    <mergeCell ref="AM69:AM70"/>
    <mergeCell ref="AM71:AM72"/>
    <mergeCell ref="AM73:AM74"/>
    <mergeCell ref="AM75:AM76"/>
    <mergeCell ref="AM77:AM78"/>
    <mergeCell ref="AM79:AM80"/>
    <mergeCell ref="AM57:AM58"/>
    <mergeCell ref="AM59:AM60"/>
    <mergeCell ref="AM61:AM62"/>
    <mergeCell ref="AM63:AM64"/>
    <mergeCell ref="AM65:AM66"/>
    <mergeCell ref="AM67:AM68"/>
    <mergeCell ref="AM93:AM94"/>
    <mergeCell ref="AM95:AM96"/>
    <mergeCell ref="AM97:AM98"/>
    <mergeCell ref="AM99:AM100"/>
    <mergeCell ref="AM101:AM102"/>
    <mergeCell ref="AM103:AM104"/>
    <mergeCell ref="AM81:AM82"/>
    <mergeCell ref="AM83:AM84"/>
    <mergeCell ref="AM85:AM86"/>
    <mergeCell ref="AM87:AM88"/>
    <mergeCell ref="AM89:AM90"/>
    <mergeCell ref="AM91:AM92"/>
    <mergeCell ref="AM117:AM118"/>
    <mergeCell ref="AM119:AM120"/>
    <mergeCell ref="AM121:AM122"/>
    <mergeCell ref="AM123:AM124"/>
    <mergeCell ref="AM125:AM126"/>
    <mergeCell ref="AM127:AM128"/>
    <mergeCell ref="AM105:AM106"/>
    <mergeCell ref="AM107:AM108"/>
    <mergeCell ref="AM109:AM110"/>
    <mergeCell ref="AM111:AM112"/>
    <mergeCell ref="AM113:AM114"/>
    <mergeCell ref="AM115:AM116"/>
    <mergeCell ref="AM163:AM164"/>
    <mergeCell ref="AM141:AM142"/>
    <mergeCell ref="AM143:AM144"/>
    <mergeCell ref="AM145:AM146"/>
    <mergeCell ref="AM147:AM148"/>
    <mergeCell ref="AM149:AM150"/>
    <mergeCell ref="AM151:AM152"/>
    <mergeCell ref="AM129:AM130"/>
    <mergeCell ref="AM131:AM132"/>
    <mergeCell ref="AM133:AM134"/>
    <mergeCell ref="AM135:AM136"/>
    <mergeCell ref="AM137:AM138"/>
    <mergeCell ref="AM139:AM140"/>
    <mergeCell ref="B45:H45"/>
    <mergeCell ref="AM195:AM196"/>
    <mergeCell ref="AM197:AM198"/>
    <mergeCell ref="AM199:AM200"/>
    <mergeCell ref="AM171:AM172"/>
    <mergeCell ref="AM173:AM174"/>
    <mergeCell ref="AM175:AM176"/>
    <mergeCell ref="AM177:AM178"/>
    <mergeCell ref="AM179:AM180"/>
    <mergeCell ref="AM181:AM182"/>
    <mergeCell ref="AM183:AM184"/>
    <mergeCell ref="AM165:AM166"/>
    <mergeCell ref="AM167:AM168"/>
    <mergeCell ref="AM169:AM170"/>
    <mergeCell ref="AM189:AM190"/>
    <mergeCell ref="AM191:AM192"/>
    <mergeCell ref="AM193:AM194"/>
    <mergeCell ref="AM185:AM186"/>
    <mergeCell ref="AM187:AM188"/>
    <mergeCell ref="AM153:AM154"/>
    <mergeCell ref="AM155:AM156"/>
    <mergeCell ref="AM157:AM158"/>
    <mergeCell ref="AM159:AM160"/>
    <mergeCell ref="AM161:AM162"/>
  </mergeCells>
  <dataValidations count="1">
    <dataValidation type="list" allowBlank="1" showInputMessage="1" showErrorMessage="1" sqref="AB4" xr:uid="{00000000-0002-0000-0200-000000000000}">
      <formula1>"HIT数,百分比,"</formula1>
    </dataValidation>
  </dataValidations>
  <hyperlinks>
    <hyperlink ref="AB8" r:id="rId1" xr:uid="{00000000-0004-0000-02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baseColWidth="10" defaultColWidth="9" defaultRowHeight="15"/>
  <cols>
    <col min="1" max="1" width="9.1640625" style="41" customWidth="1"/>
    <col min="2" max="2" width="6.6640625" style="41" customWidth="1"/>
    <col min="3" max="3" width="9.83203125" style="41" customWidth="1"/>
    <col min="4" max="4" width="6.6640625" style="41" customWidth="1"/>
    <col min="5" max="5" width="9.83203125" style="41" customWidth="1"/>
    <col min="6" max="6" width="6.6640625" style="41" customWidth="1"/>
    <col min="7" max="7" width="9.83203125" style="41" customWidth="1"/>
    <col min="8" max="8" width="6.6640625" style="41" customWidth="1"/>
    <col min="9" max="9" width="4.83203125" style="41" hidden="1" customWidth="1"/>
    <col min="10" max="26" width="9" style="28"/>
  </cols>
  <sheetData>
    <row r="1" spans="1:9" ht="16.5" customHeight="1">
      <c r="A1" s="78" t="s">
        <v>20</v>
      </c>
      <c r="B1" s="62"/>
      <c r="C1" s="62"/>
      <c r="D1" s="62"/>
      <c r="E1" s="62"/>
      <c r="F1" s="48"/>
      <c r="G1" s="79" t="s">
        <v>21</v>
      </c>
      <c r="H1" s="48"/>
      <c r="I1" s="29"/>
    </row>
    <row r="2" spans="1:9" ht="16.5" customHeight="1">
      <c r="A2" s="78" t="s">
        <v>22</v>
      </c>
      <c r="B2" s="62"/>
      <c r="C2" s="78" t="str">
        <f>_xlfn.TEXTJOIN("  ",TRUE,排轴!B3,排轴!G3,排轴!L3)</f>
        <v/>
      </c>
      <c r="D2" s="62"/>
      <c r="E2" s="78" t="str">
        <f>_xlfn.TEXTJOIN("  ",TRUE,排轴!Q3,排轴!S3,排轴!U3)</f>
        <v/>
      </c>
      <c r="F2" s="62"/>
      <c r="G2" s="79"/>
      <c r="H2" s="48"/>
      <c r="I2" s="29"/>
    </row>
    <row r="3" spans="1:9" ht="16.5" customHeight="1">
      <c r="A3" s="80" t="s">
        <v>23</v>
      </c>
      <c r="B3" s="62"/>
      <c r="C3" s="62"/>
      <c r="D3" s="62"/>
      <c r="E3" s="62"/>
      <c r="F3" s="62"/>
      <c r="G3" s="62"/>
      <c r="H3" s="62"/>
      <c r="I3" s="29"/>
    </row>
    <row r="4" spans="1:9" ht="16.5" customHeight="1">
      <c r="A4" s="62"/>
      <c r="B4" s="62"/>
      <c r="C4" s="62"/>
      <c r="D4" s="62"/>
      <c r="E4" s="62"/>
      <c r="F4" s="62"/>
      <c r="G4" s="62"/>
      <c r="H4" s="62"/>
      <c r="I4" s="29"/>
    </row>
    <row r="5" spans="1:9" ht="16.5" customHeight="1">
      <c r="A5" s="62"/>
      <c r="B5" s="62"/>
      <c r="C5" s="62"/>
      <c r="D5" s="62"/>
      <c r="E5" s="62"/>
      <c r="F5" s="62"/>
      <c r="G5" s="62"/>
      <c r="H5" s="62"/>
      <c r="I5" s="29"/>
    </row>
    <row r="6" spans="1:9" ht="16.5" customHeight="1">
      <c r="A6" s="30" t="s">
        <v>1</v>
      </c>
      <c r="B6" s="77" t="s">
        <v>24</v>
      </c>
      <c r="C6" s="62"/>
      <c r="D6" s="62"/>
      <c r="E6" s="62"/>
      <c r="F6" s="62"/>
      <c r="G6" s="62"/>
      <c r="H6" s="30" t="s">
        <v>6</v>
      </c>
      <c r="I6" s="30" t="s">
        <v>25</v>
      </c>
    </row>
    <row r="7" spans="1:9" ht="16.5" customHeight="1">
      <c r="A7" s="31">
        <f>排轴!A5</f>
        <v>1</v>
      </c>
      <c r="B7" s="32">
        <f>排轴!B5</f>
        <v>0</v>
      </c>
      <c r="C7" s="33">
        <f>排轴!C5</f>
        <v>0</v>
      </c>
      <c r="D7" s="34">
        <f>排轴!G5</f>
        <v>0</v>
      </c>
      <c r="E7" s="35">
        <f>排轴!H5</f>
        <v>0</v>
      </c>
      <c r="F7" s="32">
        <f>排轴!L5</f>
        <v>0</v>
      </c>
      <c r="G7" s="36">
        <f>排轴!M5</f>
        <v>0</v>
      </c>
      <c r="H7" s="37">
        <f>排轴!Y5</f>
        <v>0</v>
      </c>
      <c r="I7" s="38" t="s">
        <v>26</v>
      </c>
    </row>
    <row r="8" spans="1:9" ht="16.5" customHeight="1">
      <c r="A8" s="31">
        <f>排轴!A7</f>
        <v>0</v>
      </c>
      <c r="B8" s="32">
        <f>排轴!B7</f>
        <v>0</v>
      </c>
      <c r="C8" s="33">
        <f>排轴!C7</f>
        <v>0</v>
      </c>
      <c r="D8" s="34">
        <f>排轴!G7</f>
        <v>0</v>
      </c>
      <c r="E8" s="35">
        <f>排轴!H7</f>
        <v>0</v>
      </c>
      <c r="F8" s="32">
        <f>排轴!L7</f>
        <v>0</v>
      </c>
      <c r="G8" s="36">
        <f>排轴!M7</f>
        <v>0</v>
      </c>
      <c r="H8" s="39">
        <f>排轴!Y7</f>
        <v>0</v>
      </c>
      <c r="I8" s="38" t="s">
        <v>26</v>
      </c>
    </row>
    <row r="9" spans="1:9" ht="16.5" customHeight="1">
      <c r="A9" s="31">
        <f>排轴!A9</f>
        <v>0</v>
      </c>
      <c r="B9" s="32">
        <f>排轴!B9</f>
        <v>0</v>
      </c>
      <c r="C9" s="33">
        <f>排轴!C9</f>
        <v>0</v>
      </c>
      <c r="D9" s="34">
        <f>排轴!G9</f>
        <v>0</v>
      </c>
      <c r="E9" s="35">
        <f>排轴!H9</f>
        <v>0</v>
      </c>
      <c r="F9" s="32">
        <f>排轴!L9</f>
        <v>0</v>
      </c>
      <c r="G9" s="36">
        <f>排轴!M9</f>
        <v>0</v>
      </c>
      <c r="H9" s="39">
        <f>排轴!Y9</f>
        <v>0</v>
      </c>
      <c r="I9" s="38" t="s">
        <v>26</v>
      </c>
    </row>
    <row r="10" spans="1:9" ht="16.5" customHeight="1">
      <c r="A10" s="31">
        <f>排轴!A11</f>
        <v>0</v>
      </c>
      <c r="B10" s="32">
        <f>排轴!B11</f>
        <v>0</v>
      </c>
      <c r="C10" s="33">
        <f>排轴!C11</f>
        <v>0</v>
      </c>
      <c r="D10" s="34">
        <f>排轴!G11</f>
        <v>0</v>
      </c>
      <c r="E10" s="35">
        <f>排轴!H11</f>
        <v>0</v>
      </c>
      <c r="F10" s="32">
        <f>排轴!L11</f>
        <v>0</v>
      </c>
      <c r="G10" s="36">
        <f>排轴!M11</f>
        <v>0</v>
      </c>
      <c r="H10" s="39">
        <f>排轴!Y11</f>
        <v>0</v>
      </c>
      <c r="I10" s="38" t="s">
        <v>26</v>
      </c>
    </row>
    <row r="11" spans="1:9" ht="16.5" customHeight="1">
      <c r="A11" s="31">
        <f>排轴!A13</f>
        <v>0</v>
      </c>
      <c r="B11" s="32">
        <f>排轴!B13</f>
        <v>0</v>
      </c>
      <c r="C11" s="33">
        <f>排轴!C13</f>
        <v>0</v>
      </c>
      <c r="D11" s="34">
        <f>排轴!G13</f>
        <v>0</v>
      </c>
      <c r="E11" s="35">
        <f>排轴!H13</f>
        <v>0</v>
      </c>
      <c r="F11" s="32">
        <f>排轴!L13</f>
        <v>0</v>
      </c>
      <c r="G11" s="36">
        <f>排轴!M13</f>
        <v>0</v>
      </c>
      <c r="H11" s="39">
        <f>排轴!Y13</f>
        <v>0</v>
      </c>
      <c r="I11" s="38" t="s">
        <v>26</v>
      </c>
    </row>
    <row r="12" spans="1:9" ht="16.5" customHeight="1">
      <c r="A12" s="31">
        <f>排轴!A15</f>
        <v>0</v>
      </c>
      <c r="B12" s="32">
        <f>排轴!B15</f>
        <v>0</v>
      </c>
      <c r="C12" s="33">
        <f>排轴!C15</f>
        <v>0</v>
      </c>
      <c r="D12" s="34">
        <f>排轴!G15</f>
        <v>0</v>
      </c>
      <c r="E12" s="35">
        <f>排轴!H15</f>
        <v>0</v>
      </c>
      <c r="F12" s="32">
        <f>排轴!L15</f>
        <v>0</v>
      </c>
      <c r="G12" s="36">
        <f>排轴!M15</f>
        <v>0</v>
      </c>
      <c r="H12" s="39">
        <f>排轴!Y15</f>
        <v>0</v>
      </c>
      <c r="I12" s="38" t="s">
        <v>26</v>
      </c>
    </row>
    <row r="13" spans="1:9" ht="16.5" customHeight="1">
      <c r="A13" s="31">
        <f>排轴!A17</f>
        <v>7</v>
      </c>
      <c r="B13" s="32">
        <f>排轴!B17</f>
        <v>0</v>
      </c>
      <c r="C13" s="33">
        <f>排轴!C17</f>
        <v>0</v>
      </c>
      <c r="D13" s="34">
        <f>排轴!G17</f>
        <v>0</v>
      </c>
      <c r="E13" s="35">
        <f>排轴!H17</f>
        <v>0</v>
      </c>
      <c r="F13" s="32">
        <f>排轴!L17</f>
        <v>0</v>
      </c>
      <c r="G13" s="36">
        <f>排轴!M17</f>
        <v>0</v>
      </c>
      <c r="H13" s="39">
        <f>排轴!Y17</f>
        <v>0</v>
      </c>
      <c r="I13" s="38" t="s">
        <v>26</v>
      </c>
    </row>
    <row r="14" spans="1:9" ht="16.5" customHeight="1">
      <c r="A14" s="31">
        <f>排轴!A19</f>
        <v>8</v>
      </c>
      <c r="B14" s="32">
        <f>排轴!B19</f>
        <v>0</v>
      </c>
      <c r="C14" s="33">
        <f>排轴!C19</f>
        <v>0</v>
      </c>
      <c r="D14" s="34">
        <f>排轴!G19</f>
        <v>0</v>
      </c>
      <c r="E14" s="35">
        <f>排轴!H19</f>
        <v>0</v>
      </c>
      <c r="F14" s="32">
        <f>排轴!L19</f>
        <v>0</v>
      </c>
      <c r="G14" s="36">
        <f>排轴!M19</f>
        <v>0</v>
      </c>
      <c r="H14" s="39">
        <f>排轴!Y19</f>
        <v>0</v>
      </c>
      <c r="I14" s="38" t="s">
        <v>26</v>
      </c>
    </row>
    <row r="15" spans="1:9" ht="16.5" customHeight="1">
      <c r="A15" s="31">
        <f>排轴!A21</f>
        <v>9</v>
      </c>
      <c r="B15" s="32">
        <f>排轴!B21</f>
        <v>0</v>
      </c>
      <c r="C15" s="33">
        <f>排轴!C21</f>
        <v>0</v>
      </c>
      <c r="D15" s="34">
        <f>排轴!G21</f>
        <v>0</v>
      </c>
      <c r="E15" s="35">
        <f>排轴!H21</f>
        <v>0</v>
      </c>
      <c r="F15" s="32">
        <f>排轴!L21</f>
        <v>0</v>
      </c>
      <c r="G15" s="36">
        <f>排轴!M21</f>
        <v>0</v>
      </c>
      <c r="H15" s="39">
        <f>排轴!Y21</f>
        <v>0</v>
      </c>
      <c r="I15" s="38" t="s">
        <v>26</v>
      </c>
    </row>
    <row r="16" spans="1:9" ht="16.5" customHeight="1">
      <c r="A16" s="31">
        <f>排轴!A23</f>
        <v>10</v>
      </c>
      <c r="B16" s="32">
        <f>排轴!B23</f>
        <v>0</v>
      </c>
      <c r="C16" s="33">
        <f>排轴!C23</f>
        <v>0</v>
      </c>
      <c r="D16" s="34">
        <f>排轴!G23</f>
        <v>0</v>
      </c>
      <c r="E16" s="35">
        <f>排轴!H23</f>
        <v>0</v>
      </c>
      <c r="F16" s="32">
        <f>排轴!L23</f>
        <v>0</v>
      </c>
      <c r="G16" s="36">
        <f>排轴!M23</f>
        <v>0</v>
      </c>
      <c r="H16" s="39">
        <f>排轴!Y23</f>
        <v>0</v>
      </c>
      <c r="I16" s="38" t="s">
        <v>26</v>
      </c>
    </row>
    <row r="17" spans="1:9" ht="16.5" customHeight="1">
      <c r="A17" s="31">
        <f>排轴!A25</f>
        <v>11</v>
      </c>
      <c r="B17" s="32">
        <f>排轴!B25</f>
        <v>0</v>
      </c>
      <c r="C17" s="33">
        <f>排轴!C25</f>
        <v>0</v>
      </c>
      <c r="D17" s="34">
        <f>排轴!G25</f>
        <v>0</v>
      </c>
      <c r="E17" s="35">
        <f>排轴!H25</f>
        <v>0</v>
      </c>
      <c r="F17" s="32">
        <f>排轴!L25</f>
        <v>0</v>
      </c>
      <c r="G17" s="36">
        <f>排轴!M25</f>
        <v>0</v>
      </c>
      <c r="H17" s="39">
        <f>排轴!Y25</f>
        <v>0</v>
      </c>
      <c r="I17" s="38" t="s">
        <v>26</v>
      </c>
    </row>
    <row r="18" spans="1:9" ht="16.5" customHeight="1">
      <c r="A18" s="31">
        <f>排轴!A27</f>
        <v>12</v>
      </c>
      <c r="B18" s="32">
        <f>排轴!B27</f>
        <v>0</v>
      </c>
      <c r="C18" s="33">
        <f>排轴!C27</f>
        <v>0</v>
      </c>
      <c r="D18" s="34">
        <f>排轴!G27</f>
        <v>0</v>
      </c>
      <c r="E18" s="35">
        <f>排轴!H27</f>
        <v>0</v>
      </c>
      <c r="F18" s="32">
        <f>排轴!L27</f>
        <v>0</v>
      </c>
      <c r="G18" s="36">
        <f>排轴!M27</f>
        <v>0</v>
      </c>
      <c r="H18" s="39">
        <f>排轴!Y27</f>
        <v>0</v>
      </c>
      <c r="I18" s="38" t="s">
        <v>26</v>
      </c>
    </row>
    <row r="19" spans="1:9" ht="16.5" customHeight="1">
      <c r="A19" s="31">
        <f>排轴!A29</f>
        <v>13</v>
      </c>
      <c r="B19" s="32">
        <f>排轴!B29</f>
        <v>0</v>
      </c>
      <c r="C19" s="33">
        <f>排轴!C29</f>
        <v>0</v>
      </c>
      <c r="D19" s="34">
        <f>排轴!G29</f>
        <v>0</v>
      </c>
      <c r="E19" s="35">
        <f>排轴!H29</f>
        <v>0</v>
      </c>
      <c r="F19" s="32">
        <f>排轴!L29</f>
        <v>0</v>
      </c>
      <c r="G19" s="36">
        <f>排轴!M29</f>
        <v>0</v>
      </c>
      <c r="H19" s="39">
        <f>排轴!Y29</f>
        <v>0</v>
      </c>
      <c r="I19" s="38" t="s">
        <v>26</v>
      </c>
    </row>
    <row r="20" spans="1:9" ht="16.5" customHeight="1">
      <c r="A20" s="31">
        <f>排轴!A31</f>
        <v>14</v>
      </c>
      <c r="B20" s="32">
        <f>排轴!B31</f>
        <v>0</v>
      </c>
      <c r="C20" s="33">
        <f>排轴!C31</f>
        <v>0</v>
      </c>
      <c r="D20" s="34">
        <f>排轴!G31</f>
        <v>0</v>
      </c>
      <c r="E20" s="35">
        <f>排轴!H31</f>
        <v>0</v>
      </c>
      <c r="F20" s="32">
        <f>排轴!L31</f>
        <v>0</v>
      </c>
      <c r="G20" s="36">
        <f>排轴!M31</f>
        <v>0</v>
      </c>
      <c r="H20" s="39">
        <f>排轴!Y31</f>
        <v>0</v>
      </c>
      <c r="I20" s="38" t="s">
        <v>26</v>
      </c>
    </row>
    <row r="21" spans="1:9" ht="16.5" customHeight="1">
      <c r="A21" s="31">
        <f>排轴!A33</f>
        <v>15</v>
      </c>
      <c r="B21" s="32">
        <f>排轴!B33</f>
        <v>0</v>
      </c>
      <c r="C21" s="33">
        <f>排轴!C33</f>
        <v>0</v>
      </c>
      <c r="D21" s="34">
        <f>排轴!G33</f>
        <v>0</v>
      </c>
      <c r="E21" s="35">
        <f>排轴!H33</f>
        <v>0</v>
      </c>
      <c r="F21" s="32">
        <f>排轴!L33</f>
        <v>0</v>
      </c>
      <c r="G21" s="36">
        <f>排轴!M33</f>
        <v>0</v>
      </c>
      <c r="H21" s="39">
        <f>排轴!Y33</f>
        <v>0</v>
      </c>
      <c r="I21" s="38" t="s">
        <v>26</v>
      </c>
    </row>
    <row r="22" spans="1:9" ht="16.5" customHeight="1">
      <c r="A22" s="31">
        <f>排轴!A35</f>
        <v>16</v>
      </c>
      <c r="B22" s="32">
        <f>排轴!B35</f>
        <v>0</v>
      </c>
      <c r="C22" s="33">
        <f>排轴!C35</f>
        <v>0</v>
      </c>
      <c r="D22" s="34">
        <f>排轴!G35</f>
        <v>0</v>
      </c>
      <c r="E22" s="35">
        <f>排轴!H35</f>
        <v>0</v>
      </c>
      <c r="F22" s="32">
        <f>排轴!L35</f>
        <v>0</v>
      </c>
      <c r="G22" s="36">
        <f>排轴!M35</f>
        <v>0</v>
      </c>
      <c r="H22" s="39">
        <f>排轴!Y35</f>
        <v>0</v>
      </c>
      <c r="I22" s="38" t="s">
        <v>26</v>
      </c>
    </row>
    <row r="23" spans="1:9" ht="16.5" customHeight="1">
      <c r="A23" s="31">
        <f>排轴!A37</f>
        <v>17</v>
      </c>
      <c r="B23" s="32">
        <f>排轴!B37</f>
        <v>0</v>
      </c>
      <c r="C23" s="33">
        <f>排轴!C37</f>
        <v>0</v>
      </c>
      <c r="D23" s="34">
        <f>排轴!G37</f>
        <v>0</v>
      </c>
      <c r="E23" s="35">
        <f>排轴!H37</f>
        <v>0</v>
      </c>
      <c r="F23" s="32">
        <f>排轴!L37</f>
        <v>0</v>
      </c>
      <c r="G23" s="36">
        <f>排轴!M37</f>
        <v>0</v>
      </c>
      <c r="H23" s="39">
        <f>排轴!Y37</f>
        <v>0</v>
      </c>
      <c r="I23" s="38" t="s">
        <v>26</v>
      </c>
    </row>
    <row r="24" spans="1:9" ht="16.5" customHeight="1">
      <c r="A24" s="31">
        <f>排轴!A39</f>
        <v>18</v>
      </c>
      <c r="B24" s="32">
        <f>排轴!B39</f>
        <v>0</v>
      </c>
      <c r="C24" s="33">
        <f>排轴!C39</f>
        <v>0</v>
      </c>
      <c r="D24" s="34">
        <f>排轴!G39</f>
        <v>0</v>
      </c>
      <c r="E24" s="35">
        <f>排轴!H39</f>
        <v>0</v>
      </c>
      <c r="F24" s="32">
        <f>排轴!L39</f>
        <v>0</v>
      </c>
      <c r="G24" s="36">
        <f>排轴!M39</f>
        <v>0</v>
      </c>
      <c r="H24" s="39">
        <f>排轴!Y39</f>
        <v>0</v>
      </c>
      <c r="I24" s="38" t="s">
        <v>26</v>
      </c>
    </row>
    <row r="25" spans="1:9" ht="16.5" customHeight="1">
      <c r="A25" s="31">
        <f>排轴!A41</f>
        <v>19</v>
      </c>
      <c r="B25" s="32">
        <f>排轴!B41</f>
        <v>0</v>
      </c>
      <c r="C25" s="33">
        <f>排轴!C41</f>
        <v>0</v>
      </c>
      <c r="D25" s="34">
        <f>排轴!G41</f>
        <v>0</v>
      </c>
      <c r="E25" s="35">
        <f>排轴!H41</f>
        <v>0</v>
      </c>
      <c r="F25" s="32">
        <f>排轴!L41</f>
        <v>0</v>
      </c>
      <c r="G25" s="36">
        <f>排轴!M41</f>
        <v>0</v>
      </c>
      <c r="H25" s="39">
        <f>排轴!Y41</f>
        <v>0</v>
      </c>
      <c r="I25" s="38" t="s">
        <v>26</v>
      </c>
    </row>
    <row r="26" spans="1:9" ht="16.5" customHeight="1">
      <c r="A26" s="31">
        <f>排轴!A43</f>
        <v>20</v>
      </c>
      <c r="B26" s="32">
        <f>排轴!B43</f>
        <v>0</v>
      </c>
      <c r="C26" s="33">
        <f>排轴!C43</f>
        <v>0</v>
      </c>
      <c r="D26" s="34">
        <f>排轴!G43</f>
        <v>0</v>
      </c>
      <c r="E26" s="35">
        <f>排轴!H43</f>
        <v>0</v>
      </c>
      <c r="F26" s="32">
        <f>排轴!L43</f>
        <v>0</v>
      </c>
      <c r="G26" s="36">
        <f>排轴!M43</f>
        <v>0</v>
      </c>
      <c r="H26" s="39">
        <f>排轴!Y43</f>
        <v>0</v>
      </c>
      <c r="I26" s="38" t="s">
        <v>26</v>
      </c>
    </row>
    <row r="27" spans="1:9" ht="16.5" customHeight="1"/>
    <row r="28" spans="1:9" ht="16.5" customHeight="1"/>
    <row r="29" spans="1:9" ht="16.5" customHeight="1"/>
    <row r="30" spans="1:9" ht="16.5" customHeight="1"/>
    <row r="31" spans="1:9" ht="16.5" customHeight="1"/>
    <row r="32" spans="1:9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</sheetData>
  <mergeCells count="8">
    <mergeCell ref="B6:G6"/>
    <mergeCell ref="A1:F1"/>
    <mergeCell ref="G1:H1"/>
    <mergeCell ref="G2:H2"/>
    <mergeCell ref="A3:H5"/>
    <mergeCell ref="A2:B2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排轴</vt:lpstr>
      <vt:lpstr>简轴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2026-06-16T21:51:55Z</dcterms:created>
  <dcterms:modified xsi:type="dcterms:W3CDTF">2026-06-16T13:57:35Z</dcterms:modified>
</cp:coreProperties>
</file>