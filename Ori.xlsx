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nothing./Library/Mobile Documents/com~apple~CloudDocs/"/>
  <bookViews>
    <workbookView activeTab="0"/>
  </bookViews>
  <sheets>
    <sheet name="伤害计算" sheetId="1" r:id="rId3"/>
    <sheet name="技能lookup表" sheetId="2" r:id="rId4"/>
    <sheet name="排轴" sheetId="3" r:id="rId5"/>
    <sheet name="简轴" sheetId="4" r:id="rId6"/>
  </sheets>
  <calcPr calcId="191029"/>
</workbook>
</file>

<file path=xl/sharedStrings.xml><?xml version="1.0" encoding="utf-8"?>
<sst xmlns="http://schemas.openxmlformats.org/spreadsheetml/2006/main" count="207" uniqueCount="207">
  <si>
    <t/>
  </si>
  <si>
    <t>PS: 加攻, 减防, 弱点区的属性均填不含场内白值加成的初始白值</t>
  </si>
  <si>
    <t>便捷偏向计算</t>
  </si>
  <si>
    <t>便捷od计算</t>
  </si>
  <si>
    <t>加权破坏计算(打的时候未满破坏时用) hit往下填分布</t>
  </si>
  <si>
    <t>原始hit</t>
  </si>
  <si>
    <t>附加hit</t>
  </si>
  <si>
    <t>固定od%</t>
  </si>
  <si>
    <t>耳环系数</t>
  </si>
  <si>
    <t>耳环实际系数</t>
  </si>
  <si>
    <t>od%</t>
  </si>
  <si>
    <t>od hit</t>
  </si>
  <si>
    <t>原始/附加hit</t>
  </si>
  <si>
    <t>hit分布</t>
  </si>
  <si>
    <t>技能dr</t>
  </si>
  <si>
    <t>破坏加成</t>
  </si>
  <si>
    <t>初始dr</t>
  </si>
  <si>
    <t>bossdr</t>
  </si>
  <si>
    <t>maxdr</t>
  </si>
  <si>
    <t>加权破坏</t>
  </si>
  <si>
    <t>PS：模型请填写实际伤害模型，特殊为奏，吹雪的dp加伤(奏只有1.25)，弱点不包含1，类型为单体0，群体1</t>
  </si>
  <si>
    <t>力</t>
  </si>
  <si>
    <t>原始</t>
  </si>
  <si>
    <t>sp</t>
  </si>
  <si>
    <t>类型</t>
  </si>
  <si>
    <t>技能等级</t>
  </si>
  <si>
    <t>偏向</t>
  </si>
  <si>
    <t>token</t>
  </si>
  <si>
    <t>特殊</t>
  </si>
  <si>
    <t>宝珠</t>
  </si>
  <si>
    <t>基础差值</t>
  </si>
  <si>
    <t>白值加成</t>
  </si>
  <si>
    <t>当前加权（填写时自带士气骇入，暴击时骇入+50，不要+100）</t>
  </si>
  <si>
    <t>敌方属性</t>
  </si>
  <si>
    <t>是否暴击（暴击1，不暴击0）</t>
  </si>
  <si>
    <t>武器弱点</t>
  </si>
  <si>
    <t>属性弱点</t>
  </si>
  <si>
    <t>技能hit数</t>
  </si>
  <si>
    <t>灵</t>
  </si>
  <si>
    <t>智</t>
  </si>
  <si>
    <t>有-100的话请在这+50</t>
  </si>
  <si>
    <t>运</t>
  </si>
  <si>
    <t>hp偏</t>
  </si>
  <si>
    <t>最小威力</t>
  </si>
  <si>
    <t>最大威力</t>
  </si>
  <si>
    <t>min</t>
  </si>
  <si>
    <t>max</t>
  </si>
  <si>
    <t>当前</t>
  </si>
  <si>
    <t>宝珠威力</t>
  </si>
  <si>
    <t>超差值威力</t>
  </si>
  <si>
    <t>技能威力</t>
  </si>
  <si>
    <t>倍率</t>
  </si>
  <si>
    <t>dp偏</t>
  </si>
  <si>
    <t>智偏(降防, 弱点)</t>
  </si>
  <si>
    <t>不会sp模型就直接填1级最大威力</t>
  </si>
  <si>
    <t>运偏(脆弱)</t>
  </si>
  <si>
    <t>加攻区（不含被动）</t>
  </si>
  <si>
    <t>备注</t>
  </si>
  <si>
    <t>技能名</t>
  </si>
  <si>
    <t>当前属性</t>
  </si>
  <si>
    <t>技能差值</t>
  </si>
  <si>
    <t>士气/斗志</t>
  </si>
  <si>
    <t>被动</t>
  </si>
  <si>
    <t>宝珠倍率</t>
  </si>
  <si>
    <t>超差倍率</t>
  </si>
  <si>
    <t>层数</t>
  </si>
  <si>
    <t>最终威力</t>
  </si>
  <si>
    <t>附加</t>
  </si>
  <si>
    <t>VLOOKUP</t>
  </si>
  <si>
    <t>0</t>
  </si>
  <si>
    <t>PS：被动包含勿忘+，高阶增强，31f共鸣被动，机灵被动，填写时叠加，例如存在勿忘，填写1.2</t>
  </si>
  <si>
    <t>速查: 勿忘+：20％ 高阶增强/boost：20％ 机灵：25%，初始共鸣:15/18/20/22/25, 条件共鸣:20/22/25/27/30</t>
  </si>
  <si>
    <t>场地为固定值，不吃任何加成，请填写在加攻被动区</t>
  </si>
  <si>
    <t>心眼不吃宝珠，被动</t>
  </si>
  <si>
    <t>指挥, 蓄力可吃所有正常加攻吃的被动和宝珠</t>
  </si>
  <si>
    <t>减防区（不含被动）</t>
  </si>
  <si>
    <t>灵符/灾厄/黑客
/士气/斗志(直接相加)</t>
  </si>
  <si>
    <t>基础倍率</t>
  </si>
  <si>
    <t>PS：被动包含月光+，高阶增强，31e共鸣被动，侵蚀被动，填写时叠加，例如存在侵蚀，填写1.25</t>
  </si>
  <si>
    <t>速查: 勿忘+：20％ 高阶增强/boost：20％ 机灵：25%，樱花箭: 20%, 初始共鸣:15/18/20/22/25, 条件共鸣:20/22/25/27/30</t>
  </si>
  <si>
    <t>脆弱可享受樱花箭, 宝珠, 月光+，高阶，boost, 不享受共鸣被动，侵蚀</t>
  </si>
  <si>
    <t>弱点（不含被动）</t>
  </si>
  <si>
    <t>被动加攻区</t>
  </si>
  <si>
    <t>威力</t>
  </si>
  <si>
    <t>被动减防区</t>
  </si>
  <si>
    <t>爆伤区</t>
  </si>
  <si>
    <t>装备区</t>
  </si>
  <si>
    <t>是否佩戴(0/1)</t>
  </si>
  <si>
    <t>对应加攻</t>
  </si>
  <si>
    <t>基础</t>
  </si>
  <si>
    <t>戒指</t>
  </si>
  <si>
    <t>暴击</t>
  </si>
  <si>
    <t>hp耳环</t>
  </si>
  <si>
    <t>银冰项链</t>
  </si>
  <si>
    <t>加攻</t>
  </si>
  <si>
    <t>减防</t>
  </si>
  <si>
    <t>爆伤</t>
  </si>
  <si>
    <t>弱点</t>
  </si>
  <si>
    <t>连击</t>
  </si>
  <si>
    <t>破坏</t>
  </si>
  <si>
    <t>od</t>
  </si>
  <si>
    <t>打分加防</t>
  </si>
  <si>
    <t>衰减前</t>
  </si>
  <si>
    <t>浮动</t>
  </si>
  <si>
    <t>衰减后</t>
  </si>
  <si>
    <t>垫刀</t>
  </si>
  <si>
    <t>难度</t>
  </si>
  <si>
    <t>回合</t>
  </si>
  <si>
    <t>是否有盾分</t>
  </si>
  <si>
    <t>基础分</t>
  </si>
  <si>
    <t>阈值</t>
  </si>
  <si>
    <t>伤害系数</t>
  </si>
  <si>
    <t>伤害分</t>
  </si>
  <si>
    <t>回合系数</t>
  </si>
  <si>
    <t>词条</t>
  </si>
  <si>
    <t>总分</t>
  </si>
  <si>
    <t>打分分数计算(直接填写伤害计算分数）</t>
  </si>
  <si>
    <t>伤害</t>
  </si>
  <si>
    <t>下为基础参数，忽视</t>
  </si>
  <si>
    <t>盾分</t>
  </si>
  <si>
    <t>数据请从 hbr.quest 查询, border即为技能差值, max均使用1级的数值; 填到这里来后即可在主表直接查询使用</t>
  </si>
  <si>
    <t>buff区</t>
  </si>
  <si>
    <t>Debuff区</t>
  </si>
  <si>
    <t>弱点区</t>
  </si>
  <si>
    <t>名称</t>
  </si>
  <si>
    <t>border</t>
  </si>
  <si>
    <t>胜利之弧-加攻</t>
  </si>
  <si>
    <t>光芒一闪</t>
  </si>
  <si>
    <t>今宵</t>
  </si>
  <si>
    <t>胜利之弧-心眼</t>
  </si>
  <si>
    <t>冰华-永减</t>
  </si>
  <si>
    <t>放学</t>
  </si>
  <si>
    <t>泪雨</t>
  </si>
  <si>
    <t>冰华-冰减</t>
  </si>
  <si>
    <t>无限光晕</t>
  </si>
  <si>
    <t>蓄力珠</t>
  </si>
  <si>
    <t>美也单体脆弱</t>
  </si>
  <si>
    <t>国土无双</t>
  </si>
  <si>
    <t>指挥</t>
  </si>
  <si>
    <t>软化珠</t>
  </si>
  <si>
    <t>纯洁之吻</t>
  </si>
  <si>
    <t>圣女-加攻</t>
  </si>
  <si>
    <t>鲱鱼闹钟</t>
  </si>
  <si>
    <t>再炸一波</t>
  </si>
  <si>
    <t>圣女- 心眼</t>
  </si>
  <si>
    <t>灵符-冰减</t>
  </si>
  <si>
    <t>加速</t>
  </si>
  <si>
    <t>灵符-脆弱</t>
  </si>
  <si>
    <t>彩蛋</t>
  </si>
  <si>
    <t>惠 单减</t>
  </si>
  <si>
    <t>惠 永属减</t>
  </si>
  <si>
    <t>惠 脆弱</t>
  </si>
  <si>
    <t>惠 永脆</t>
  </si>
  <si>
    <t>冰降珠</t>
  </si>
  <si>
    <t>国土-降防</t>
  </si>
  <si>
    <t>追风</t>
  </si>
  <si>
    <t>骇客-脆弱</t>
  </si>
  <si>
    <t>行动</t>
  </si>
  <si>
    <t>牢房</t>
  </si>
  <si>
    <t>被动
OD</t>
  </si>
  <si>
    <t>当前OD（Assist）</t>
  </si>
  <si>
    <t>当前OD</t>
  </si>
  <si>
    <t>本回合DR</t>
  </si>
  <si>
    <t>BOSS DR</t>
  </si>
  <si>
    <t>剩余 DR</t>
  </si>
  <si>
    <t>helpers</t>
  </si>
  <si>
    <t>当前SP</t>
  </si>
  <si>
    <t>消耗</t>
  </si>
  <si>
    <t>获得</t>
  </si>
  <si>
    <t>OD</t>
  </si>
  <si>
    <t>DR</t>
  </si>
  <si>
    <t>入场</t>
  </si>
  <si>
    <t>\</t>
  </si>
  <si>
    <t>请选择OD表达方式</t>
  </si>
  <si>
    <t>百分比</t>
  </si>
  <si>
    <t>MATCH</t>
  </si>
  <si>
    <t>【Tencent Docs】Copy-OD计算表</t>
  </si>
  <si>
    <t>ori</t>
  </si>
  <si>
    <t>add</t>
  </si>
  <si>
    <t>set</t>
  </si>
  <si>
    <t>earing</t>
  </si>
  <si>
    <t>OP_ADD</t>
  </si>
  <si>
    <t>2</t>
  </si>
  <si>
    <t>【标题】（比如 第xx期打分 xx队 无限od流）</t>
  </si>
  <si>
    <t>轴作者</t>
  </si>
  <si>
    <t>队伍组成（前 | 后）</t>
  </si>
  <si>
    <t>【注意事项】（比如耳环、突破要求等）</t>
  </si>
  <si>
    <t>行动轴</t>
  </si>
  <si>
    <t>P</t>
  </si>
  <si>
    <t>☐</t>
  </si>
  <si>
    <t>aoi</t>
  </si>
  <si>
    <t>tama</t>
  </si>
  <si>
    <t>吐司</t>
  </si>
  <si>
    <t>暗梢</t>
  </si>
  <si>
    <t>忍者</t>
  </si>
  <si>
    <t>三乡</t>
  </si>
  <si>
    <t>光晕-永减</t>
  </si>
  <si>
    <t>胭紅魔女-光减</t>
  </si>
  <si>
    <t>胭紅魔女</t>
  </si>
  <si>
    <t>胭紅魔女-脆弱</t>
  </si>
  <si>
    <t>毁灭+</t>
  </si>
  <si>
    <t>柳-蓄力</t>
  </si>
  <si>
    <t>圣女-心眼</t>
  </si>
  <si>
    <t>伊甸园-加攻</t>
  </si>
  <si>
    <t>伊甸园-心眼</t>
  </si>
  <si>
    <r>
      <t>数据库链接</t>
    </r>
  </si>
  <si>
    <r>
      <rPr>
        <rFont val="微软雅黑"/>
        <b val="0"/>
        <i val="0"/>
        <strike val="0"/>
        <color rgb="FF175CEB"/>
        <sz val="11"/>
      </rPr>
      <t>Copy-OD计算表</t>
    </r>
  </si>
</sst>
</file>

<file path=xl/styles.xml><?xml version="1.0" encoding="utf-8"?>
<styleSheet xmlns="http://schemas.openxmlformats.org/spreadsheetml/2006/main">
  <numFmts count="2">
    <numFmt numFmtId="300" formatCode="General"/>
    <numFmt numFmtId="301" formatCode="@"/>
  </numFmts>
  <fonts count="22">
    <font>
      <name val="Calibri"/>
      <color rgb="FF000000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color rgb="FFE54C5E"/>
      <sz val="11"/>
    </font>
    <font>
      <name val="Yuanti SC Regular"/>
      <color rgb="FF000000"/>
      <sz val="11"/>
    </font>
    <font>
      <name val="Calibri"/>
      <family val="2"/>
      <color rgb="FF000000"/>
      <sz val="9"/>
    </font>
    <font>
      <name val="Calibri"/>
      <family val="2"/>
      <color theme="1"/>
      <sz val="11"/>
    </font>
    <font>
      <name val="Calibri"/>
      <family val="2"/>
      <sz val="11"/>
    </font>
    <font>
      <name val="宋体"/>
      <charset val="134"/>
      <b val="1"/>
      <sz val="11"/>
    </font>
    <font>
      <name val="宋体"/>
      <charset val="134"/>
      <sz val="11"/>
    </font>
    <font>
      <name val="Helvetica Neue"/>
      <family val="2"/>
      <color theme="1"/>
      <sz val="11"/>
      <scheme val="major"/>
    </font>
    <font>
      <name val="宋体"/>
      <charset val="134"/>
      <sz val="9"/>
    </font>
    <font>
      <name val="Calibri"/>
      <family val="2"/>
      <color theme="1"/>
      <sz val="10"/>
    </font>
    <font>
      <name val="宋体"/>
      <charset val="134"/>
      <color theme="1"/>
      <sz val="11"/>
    </font>
    <font>
      <name val="Segoe UI Symbol"/>
      <family val="2"/>
      <color rgb="FF000000"/>
      <sz val="10"/>
    </font>
    <font>
      <name val="Noto Sans SC"/>
      <family val="2"/>
      <b val="1"/>
      <color rgb="FFFFFFFF"/>
      <sz val="15"/>
    </font>
    <font>
      <name val="Calibri"/>
      <family val="2"/>
      <sz val="10"/>
    </font>
    <font>
      <name val="Calibri"/>
      <color rgb="FF000000"/>
      <sz val="11"/>
    </font>
    <font>
      <name val="Helvetica Neue"/>
      <family val="2"/>
      <color theme="1"/>
      <sz val="11"/>
      <scheme val="minor"/>
    </font>
    <font>
      <name val="Calibri"/>
      <family val="2"/>
      <color theme="10"/>
      <sz val="11"/>
      <u/>
    </font>
  </fonts>
  <fills count="19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E8E6E6"/>
        <bgColor indexed="64"/>
      </patternFill>
    </fill>
    <fill>
      <patternFill patternType="solid">
        <fgColor rgb="FFE7E6E6"/>
        <bgColor auto="1"/>
      </patternFill>
    </fill>
    <fill>
      <patternFill patternType="solid">
        <fgColor rgb="FFDDDDDD"/>
        <bgColor auto="1"/>
      </patternFill>
    </fill>
    <fill>
      <patternFill patternType="none"/>
    </fill>
    <fill>
      <patternFill patternType="solid">
        <fgColor rgb="FFFFEEAD"/>
      </patternFill>
    </fill>
    <fill>
      <patternFill patternType="solid">
        <fgColor rgb="FFE5F6FF"/>
      </patternFill>
    </fill>
    <fill>
      <patternFill patternType="solid">
        <fgColor rgb="FFFFDCC4"/>
      </patternFill>
    </fill>
    <fill>
      <patternFill patternType="solid">
        <fgColor rgb="FFFFE9E8"/>
      </patternFill>
    </fill>
    <fill>
      <patternFill patternType="solid">
        <fgColor rgb="FFC7DCFF"/>
      </patternFill>
    </fill>
    <fill>
      <patternFill patternType="solid">
        <fgColor rgb="FFFFFF00"/>
        <bgColor rgb="FF000000"/>
      </patternFill>
    </fill>
    <fill>
      <patternFill patternType="solid">
        <fgColor rgb="FFFFF9E3"/>
      </patternFill>
    </fill>
    <fill>
      <patternFill patternType="solid">
        <fgColor rgb="FFD8D8D8"/>
      </patternFill>
    </fill>
    <fill>
      <patternFill patternType="solid">
        <fgColor theme="7" tint="0.799982"/>
        <bgColor indexed="64"/>
      </patternFill>
    </fill>
    <fill>
      <patternFill patternType="solid">
        <fgColor rgb="FFFFF3EB"/>
      </patternFill>
    </fill>
    <fill>
      <patternFill patternType="solid">
        <fgColor rgb="FFFFC9C7"/>
      </patternFill>
    </fill>
    <fill>
      <patternFill patternType="solid">
        <fgColor rgb="FFE5EFFF"/>
      </patternFill>
    </fill>
  </fills>
  <borders count="10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7A7A7"/>
      </right>
      <top style="thin">
        <color rgb="FF000000"/>
      </top>
      <bottom style="thin">
        <color rgb="FFAAAAAA"/>
      </bottom>
      <diagonal/>
    </border>
    <border>
      <left style="thin">
        <color rgb="FFA7A7A7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7A7A7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7A7A7"/>
      </right>
      <top style="thin">
        <color rgb="FFA7A7A7"/>
      </top>
      <bottom style="thin">
        <color rgb="FFAAAAAA"/>
      </bottom>
      <diagonal/>
    </border>
    <border>
      <left style="thin">
        <color rgb="FFA7A7A7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7A7A7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A7A7A7"/>
      </right>
      <top style="thin">
        <color rgb="FFAAAAAA"/>
      </top>
      <bottom style="thin">
        <color rgb="FF000000"/>
      </bottom>
      <diagonal/>
    </border>
    <border>
      <left style="thin">
        <color rgb="FFA7A7A7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  <diagonal/>
    </border>
    <border>
      <left style="thin">
        <color rgb="FFAAAAAA"/>
      </left>
      <right style="thin">
        <color rgb="FFA7A7A7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medium">
        <color rgb="FF000000"/>
      </top>
      <bottom style="thin">
        <color rgb="FF000000"/>
      </bottom>
      <diagonal/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7A7A7"/>
      </right>
      <top style="thin">
        <color rgb="FFAAAAAA"/>
      </top>
      <bottom style="thin">
        <color rgb="FFAAAAAA"/>
      </bottom>
      <diagonal/>
    </border>
    <border>
      <left style="thin">
        <color rgb="FFA7A7A7"/>
      </left>
      <right style="thin">
        <color rgb="FFAAAAAA"/>
      </right>
      <top style="thin">
        <color rgb="FFAAAAAA"/>
      </top>
      <bottom style="thin">
        <color rgb="FFA7A7A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7A7A7"/>
      </bottom>
      <diagonal/>
    </border>
    <border>
      <left style="thin">
        <color rgb="FFAAAAAA"/>
      </left>
      <right style="thin">
        <color rgb="FFA7A7A7"/>
      </right>
      <top style="thin">
        <color rgb="FFAAAAAA"/>
      </top>
      <bottom style="thin">
        <color rgb="FFA7A7A7"/>
      </bottom>
      <diagonal/>
    </border>
    <border>
      <left style="medium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7A7A7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thin">
        <color rgb="FFA7A7A7"/>
      </right>
      <top style="medium">
        <color rgb="FF000000"/>
      </top>
      <bottom style="thin">
        <color rgb="FFA7A7A7"/>
      </bottom>
      <diagonal/>
    </border>
    <border>
      <left style="thin">
        <color rgb="FFA7A7A7"/>
      </left>
      <right style="thin">
        <color rgb="FFA7A7A7"/>
      </right>
      <top style="medium">
        <color rgb="FF000000"/>
      </top>
      <bottom style="thin">
        <color rgb="FFA7A7A7"/>
      </bottom>
      <diagonal/>
    </border>
    <border>
      <left style="thin">
        <color rgb="FFA7A7A7"/>
      </left>
      <right style="medium">
        <color rgb="FF000000"/>
      </right>
      <top style="medium">
        <color rgb="FF000000"/>
      </top>
      <bottom style="thin">
        <color rgb="FFA7A7A7"/>
      </bottom>
      <diagonal/>
    </border>
    <border>
      <left style="medium">
        <color rgb="FF000000"/>
      </left>
      <right style="thin">
        <color rgb="FFA7A7A7"/>
      </right>
      <top style="thin">
        <color rgb="FFA7A7A7"/>
      </top>
      <bottom style="thin">
        <color rgb="FFA7A7A7"/>
      </bottom>
      <diagonal/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  <diagonal/>
    </border>
    <border>
      <left style="thin">
        <color rgb="FFA7A7A7"/>
      </left>
      <right style="medium">
        <color rgb="FF000000"/>
      </right>
      <top style="thin">
        <color rgb="FFA7A7A7"/>
      </top>
      <bottom style="thin">
        <color rgb="FFA7A7A7"/>
      </bottom>
      <diagonal/>
    </border>
    <border>
      <left style="medium">
        <color rgb="FF000000"/>
      </left>
      <right style="thin">
        <color rgb="FFA7A7A7"/>
      </right>
      <top style="thin">
        <color rgb="FFA7A7A7"/>
      </top>
      <bottom style="medium">
        <color rgb="FF000000"/>
      </bottom>
      <diagonal/>
    </border>
    <border>
      <left style="thin">
        <color rgb="FFA7A7A7"/>
      </left>
      <right style="thin">
        <color rgb="FFA7A7A7"/>
      </right>
      <top style="thin">
        <color rgb="FFA7A7A7"/>
      </top>
      <bottom style="medium">
        <color rgb="FF000000"/>
      </bottom>
      <diagonal/>
    </border>
    <border>
      <left style="thin">
        <color rgb="FFA7A7A7"/>
      </left>
      <right style="medium">
        <color rgb="FF000000"/>
      </right>
      <top style="thin">
        <color rgb="FFA7A7A7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  <diagonal/>
    </border>
    <border>
      <left style="medium">
        <color rgb="FF000000"/>
      </left>
      <right style="thin">
        <color rgb="FF000000"/>
      </right>
      <top style="thin">
        <color rgb="FFAAAAAA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7A7A7"/>
      </right>
      <top style="medium">
        <color rgb="FF000000"/>
      </top>
      <bottom style="thin">
        <color rgb="FF000000"/>
      </bottom>
      <diagonal/>
    </border>
    <border>
      <left style="thin">
        <color rgb="FFA7A7A7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AAAAAA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AAAAAA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AAAAA"/>
      </right>
      <top style="medium">
        <color rgb="FF000000"/>
      </top>
      <bottom style="thin">
        <color rgb="FFAAAAAA"/>
      </bottom>
      <diagonal/>
    </border>
    <border>
      <left style="medium">
        <color rgb="FF000000"/>
      </left>
      <right style="thin">
        <color rgb="FFAAAAAA"/>
      </right>
      <top style="medium">
        <color rgb="FF000000"/>
      </top>
      <bottom/>
      <diagonal/>
    </border>
    <border>
      <left style="thin">
        <color rgb="FFAAAAAA"/>
      </left>
      <right style="thin">
        <color rgb="FFAAAAAA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AAAAAA"/>
      </right>
      <top style="thin">
        <color rgb="FFAAAAAA"/>
      </top>
      <bottom style="medium">
        <color rgb="FF000000"/>
      </bottom>
      <diagonal/>
    </border>
    <border>
      <left style="thin">
        <color rgb="FFAAAAAA"/>
      </left>
      <right/>
      <top style="thin">
        <color rgb="FFAAAAAA"/>
      </top>
      <bottom style="medium">
        <color rgb="FF000000"/>
      </bottom>
      <diagonal/>
    </border>
    <border>
      <left style="thin">
        <color rgb="FFAAAAAA"/>
      </left>
      <right style="medium">
        <color rgb="FF000000"/>
      </right>
      <top style="thin">
        <color rgb="FFAAAAAA"/>
      </top>
      <bottom style="medium">
        <color rgb="FF000000"/>
      </bottom>
      <diagonal/>
    </border>
    <border/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>
    <xf numFmtId="300" fontId="19" fillId="0" borderId="4" xfId="0" applyNumberFormat="0" applyFill="0" applyBorder="0" applyProtection="0">
      <alignment vertical="center"/>
    </xf>
    <xf numFmtId="300" fontId="20" fillId="6" borderId="4" xfId="0">
      <alignment vertical="center"/>
    </xf>
    <xf numFmtId="300" fontId="21" fillId="6" borderId="4" xfId="0" applyNumberFormat="0" applyFill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19" fillId="2" borderId="1" xfId="0" applyFill="1" applyBorder="1">
      <alignment vertical="center"/>
    </xf>
    <xf numFmtId="300" fontId="19" fillId="2" borderId="2" xfId="0" applyFill="1" applyBorder="1">
      <alignment vertical="center"/>
    </xf>
    <xf numFmtId="300" fontId="19" fillId="2" borderId="3" xfId="0" applyFill="1" applyBorder="1">
      <alignment vertical="center"/>
    </xf>
    <xf numFmtId="300" fontId="19" fillId="0" borderId="4" xfId="0" applyBorder="1">
      <alignment vertical="center"/>
    </xf>
    <xf numFmtId="49" fontId="19" fillId="2" borderId="1" xfId="0" applyNumberFormat="1" applyFill="1" applyBorder="1">
      <alignment vertical="center"/>
    </xf>
    <xf numFmtId="300" fontId="19" fillId="2" borderId="5" xfId="0" applyFill="1" applyBorder="1">
      <alignment vertical="center"/>
    </xf>
    <xf numFmtId="49" fontId="19" fillId="2" borderId="6" xfId="0" applyNumberFormat="1" applyFill="1" applyBorder="1" applyAlignment="1">
      <alignment horizontal="center" vertical="center"/>
    </xf>
    <xf numFmtId="300" fontId="19" fillId="2" borderId="7" xfId="0" applyFill="1" applyBorder="1">
      <alignment vertical="center"/>
    </xf>
    <xf numFmtId="300" fontId="19" fillId="2" borderId="8" xfId="0" applyFill="1" applyBorder="1">
      <alignment vertical="center"/>
    </xf>
    <xf numFmtId="300" fontId="19" fillId="2" borderId="9" xfId="0" applyFill="1" applyBorder="1">
      <alignment vertical="center"/>
    </xf>
    <xf numFmtId="49" fontId="19" fillId="2" borderId="10" xfId="0" applyNumberFormat="1" applyFill="1" applyBorder="1" applyAlignment="1">
      <alignment horizontal="center" vertical="center"/>
    </xf>
    <xf numFmtId="300" fontId="19" fillId="2" borderId="11" xfId="0" applyFill="1" applyBorder="1">
      <alignment vertical="center"/>
    </xf>
    <xf numFmtId="300" fontId="19" fillId="2" borderId="12" xfId="0" applyFill="1" applyBorder="1">
      <alignment vertical="center"/>
    </xf>
    <xf numFmtId="300" fontId="19" fillId="2" borderId="13" xfId="0" applyFill="1" applyBorder="1">
      <alignment vertical="center"/>
    </xf>
    <xf numFmtId="300" fontId="3" fillId="2" borderId="14" xfId="0" applyFont="1" applyFill="1" applyBorder="1" applyAlignment="1">
      <alignment horizontal="center" vertical="center"/>
    </xf>
    <xf numFmtId="300" fontId="19" fillId="2" borderId="15" xfId="0" applyFill="1" applyBorder="1" applyAlignment="1">
      <alignment horizontal="center" vertical="center"/>
    </xf>
    <xf numFmtId="300" fontId="19" fillId="2" borderId="16" xfId="0" applyFill="1" applyBorder="1" applyAlignment="1">
      <alignment horizontal="center" vertical="center"/>
    </xf>
    <xf numFmtId="300" fontId="19" fillId="2" borderId="1" xfId="0" applyFill="1" applyBorder="1" applyAlignment="1">
      <alignment horizontal="left" vertical="center"/>
    </xf>
    <xf numFmtId="300" fontId="19" fillId="2" borderId="5" xfId="0" applyFill="1" applyBorder="1" applyAlignment="1">
      <alignment horizontal="left" vertical="center"/>
    </xf>
    <xf numFmtId="300" fontId="19" fillId="2" borderId="17" xfId="0" applyFill="1" applyBorder="1" applyAlignment="1">
      <alignment horizontal="left" vertical="center"/>
    </xf>
    <xf numFmtId="49" fontId="3" fillId="2" borderId="18" xfId="0" applyNumberFormat="1" applyFont="1" applyFill="1" applyBorder="1" applyAlignment="1">
      <alignment horizontal="left" vertical="center"/>
    </xf>
    <xf numFmtId="49" fontId="3" fillId="2" borderId="11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left" vertical="center"/>
    </xf>
    <xf numFmtId="49" fontId="4" fillId="2" borderId="13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49" fontId="19" fillId="2" borderId="5" xfId="0" applyNumberFormat="1" applyFill="1" applyBorder="1">
      <alignment vertical="center"/>
    </xf>
    <xf numFmtId="300" fontId="3" fillId="2" borderId="1" xfId="0" applyFont="1" applyFill="1" applyBorder="1">
      <alignment vertical="center"/>
    </xf>
    <xf numFmtId="49" fontId="19" fillId="2" borderId="2" xfId="0" applyNumberFormat="1" applyFill="1" applyBorder="1" applyAlignment="1">
      <alignment horizontal="left" vertical="center"/>
    </xf>
    <xf numFmtId="300" fontId="19" fillId="2" borderId="2" xfId="0" applyFill="1" applyBorder="1" applyAlignment="1">
      <alignment horizontal="left" vertical="center"/>
    </xf>
    <xf numFmtId="49" fontId="19" fillId="2" borderId="13" xfId="0" applyNumberFormat="1" applyFill="1" applyBorder="1" applyAlignment="1">
      <alignment horizontal="left" vertical="center"/>
    </xf>
    <xf numFmtId="300" fontId="19" fillId="3" borderId="1" xfId="0" applyFill="1" applyBorder="1" applyAlignment="1">
      <alignment horizontal="left" vertical="center"/>
    </xf>
    <xf numFmtId="300" fontId="19" fillId="3" borderId="5" xfId="0" applyFill="1" applyBorder="1" applyAlignment="1">
      <alignment horizontal="left" vertical="center"/>
    </xf>
    <xf numFmtId="300" fontId="19" fillId="3" borderId="13" xfId="0" applyFill="1" applyBorder="1">
      <alignment vertical="center"/>
    </xf>
    <xf numFmtId="300" fontId="19" fillId="3" borderId="1" xfId="0" applyFill="1" applyBorder="1">
      <alignment vertical="center"/>
    </xf>
    <xf numFmtId="49" fontId="19" fillId="2" borderId="19" xfId="0" applyNumberFormat="1" applyFill="1" applyBorder="1" applyAlignment="1">
      <alignment horizontal="left" vertical="center"/>
    </xf>
    <xf numFmtId="300" fontId="19" fillId="2" borderId="9" xfId="0" applyFill="1" applyBorder="1" applyAlignment="1">
      <alignment horizontal="left" vertical="center"/>
    </xf>
    <xf numFmtId="300" fontId="3" fillId="0" borderId="4" xfId="0" applyFont="1">
      <alignment vertical="center"/>
    </xf>
    <xf numFmtId="300" fontId="19" fillId="0" borderId="4" xfId="0">
      <alignment vertical="center"/>
    </xf>
    <xf numFmtId="300" fontId="19" fillId="4" borderId="19" xfId="0" applyFill="1" applyBorder="1" applyAlignment="1">
      <alignment horizontal="left" vertical="center"/>
    </xf>
    <xf numFmtId="300" fontId="19" fillId="2" borderId="11" xfId="0" applyFill="1" applyBorder="1" applyAlignment="1">
      <alignment horizontal="left" vertical="center"/>
    </xf>
    <xf numFmtId="49" fontId="5" fillId="2" borderId="11" xfId="0" applyNumberFormat="1" applyFont="1" applyFill="1" applyBorder="1" applyAlignment="1">
      <alignment horizontal="left" vertical="center"/>
    </xf>
    <xf numFmtId="49" fontId="19" fillId="2" borderId="20" xfId="0" applyNumberFormat="1" applyFill="1" applyBorder="1" applyAlignment="1">
      <alignment horizontal="left" vertical="center"/>
    </xf>
    <xf numFmtId="300" fontId="19" fillId="3" borderId="21" xfId="0" applyFill="1" applyBorder="1">
      <alignment vertical="center"/>
    </xf>
    <xf numFmtId="300" fontId="19" fillId="3" borderId="2" xfId="0" applyFill="1" applyBorder="1">
      <alignment vertical="center"/>
    </xf>
    <xf numFmtId="300" fontId="19" fillId="2" borderId="22" xfId="0" applyFill="1" applyBorder="1">
      <alignment vertical="center"/>
    </xf>
    <xf numFmtId="49" fontId="19" fillId="2" borderId="23" xfId="0" applyNumberFormat="1" applyFill="1" applyBorder="1" applyAlignment="1">
      <alignment horizontal="left" vertical="center"/>
    </xf>
    <xf numFmtId="300" fontId="19" fillId="2" borderId="24" xfId="0" applyFill="1" applyBorder="1" applyAlignment="1">
      <alignment horizontal="left" vertical="center"/>
    </xf>
    <xf numFmtId="49" fontId="19" fillId="2" borderId="1" xfId="0" applyNumberFormat="1" applyFill="1" applyBorder="1" applyAlignment="1">
      <alignment horizontal="left" vertical="center"/>
    </xf>
    <xf numFmtId="49" fontId="19" fillId="2" borderId="3" xfId="0" applyNumberFormat="1" applyFill="1" applyBorder="1" applyAlignment="1">
      <alignment horizontal="left" vertical="center"/>
    </xf>
    <xf numFmtId="49" fontId="19" fillId="2" borderId="25" xfId="0" applyNumberFormat="1" applyFill="1" applyBorder="1" applyAlignment="1">
      <alignment horizontal="left" vertical="center"/>
    </xf>
    <xf numFmtId="300" fontId="19" fillId="2" borderId="14" xfId="0" applyFill="1" applyBorder="1" applyAlignment="1">
      <alignment horizontal="left" vertical="center"/>
    </xf>
    <xf numFmtId="300" fontId="19" fillId="4" borderId="4" xfId="0" applyFill="1" applyBorder="1" applyAlignment="1">
      <alignment horizontal="left" vertical="center"/>
    </xf>
    <xf numFmtId="300" fontId="19" fillId="2" borderId="16" xfId="0" applyFill="1" applyBorder="1" applyAlignment="1">
      <alignment horizontal="left" vertical="center"/>
    </xf>
    <xf numFmtId="49" fontId="3" fillId="2" borderId="26" xfId="0" applyNumberFormat="1" applyFont="1" applyFill="1" applyBorder="1" applyAlignment="1">
      <alignment horizontal="left" vertical="center"/>
    </xf>
    <xf numFmtId="49" fontId="19" fillId="2" borderId="27" xfId="0" applyNumberFormat="1" applyFill="1" applyBorder="1" applyAlignment="1">
      <alignment horizontal="left" vertical="center"/>
    </xf>
    <xf numFmtId="300" fontId="19" fillId="2" borderId="28" xfId="0" applyFill="1" applyBorder="1" applyAlignment="1">
      <alignment horizontal="left" vertical="center"/>
    </xf>
    <xf numFmtId="300" fontId="19" fillId="2" borderId="22" xfId="0" applyFill="1" applyBorder="1" applyAlignment="1">
      <alignment horizontal="left" vertical="center"/>
    </xf>
    <xf numFmtId="300" fontId="19" fillId="2" borderId="29" xfId="0" applyFill="1" applyBorder="1" applyAlignment="1">
      <alignment horizontal="left" vertical="center"/>
    </xf>
    <xf numFmtId="300" fontId="19" fillId="2" borderId="30" xfId="0" applyFill="1" applyBorder="1" applyAlignment="1">
      <alignment horizontal="left" vertical="center"/>
    </xf>
    <xf numFmtId="300" fontId="19" fillId="2" borderId="18" xfId="0" applyFill="1" applyBorder="1" applyAlignment="1">
      <alignment horizontal="left" vertical="center"/>
    </xf>
    <xf numFmtId="300" fontId="19" fillId="2" borderId="31" xfId="0" applyFill="1" applyBorder="1" applyAlignment="1">
      <alignment horizontal="left" vertical="center"/>
    </xf>
    <xf numFmtId="49" fontId="19" fillId="2" borderId="32" xfId="0" applyNumberFormat="1" applyFill="1" applyBorder="1" applyAlignment="1">
      <alignment horizontal="left" vertical="center"/>
    </xf>
    <xf numFmtId="300" fontId="19" fillId="2" borderId="33" xfId="0" applyFill="1" applyBorder="1">
      <alignment vertical="center"/>
    </xf>
    <xf numFmtId="300" fontId="19" fillId="2" borderId="34" xfId="0" applyFill="1" applyBorder="1">
      <alignment vertical="center"/>
    </xf>
    <xf numFmtId="300" fontId="19" fillId="2" borderId="35" xfId="0" applyFill="1" applyBorder="1">
      <alignment vertical="center"/>
    </xf>
    <xf numFmtId="300" fontId="19" fillId="2" borderId="36" xfId="0" applyFill="1" applyBorder="1" applyAlignment="1">
      <alignment horizontal="left" vertical="center"/>
    </xf>
    <xf numFmtId="300" fontId="19" fillId="2" borderId="37" xfId="0" applyFill="1" applyBorder="1" applyAlignment="1">
      <alignment horizontal="left" vertical="center"/>
    </xf>
    <xf numFmtId="300" fontId="19" fillId="2" borderId="38" xfId="0" applyFill="1" applyBorder="1" applyAlignment="1">
      <alignment horizontal="left" vertical="center"/>
    </xf>
    <xf numFmtId="300" fontId="19" fillId="2" borderId="39" xfId="0" applyFill="1" applyBorder="1" applyAlignment="1">
      <alignment horizontal="left" vertical="center"/>
    </xf>
    <xf numFmtId="49" fontId="19" fillId="2" borderId="40" xfId="0" applyNumberFormat="1" applyFill="1" applyBorder="1" applyAlignment="1">
      <alignment horizontal="left" vertical="center"/>
    </xf>
    <xf numFmtId="49" fontId="19" fillId="2" borderId="41" xfId="0" applyNumberFormat="1" applyFill="1" applyBorder="1" applyAlignment="1">
      <alignment horizontal="left" vertical="center"/>
    </xf>
    <xf numFmtId="300" fontId="19" fillId="2" borderId="42" xfId="0" applyFill="1" applyBorder="1" applyAlignment="1">
      <alignment horizontal="left" vertical="center"/>
    </xf>
    <xf numFmtId="300" fontId="19" fillId="2" borderId="43" xfId="0" applyFill="1" applyBorder="1" applyAlignment="1">
      <alignment horizontal="left" vertical="center"/>
    </xf>
    <xf numFmtId="300" fontId="19" fillId="2" borderId="29" xfId="0" applyFill="1" applyBorder="1">
      <alignment vertical="center"/>
    </xf>
    <xf numFmtId="300" fontId="19" fillId="2" borderId="40" xfId="0" applyFill="1" applyBorder="1" applyAlignment="1">
      <alignment horizontal="left" vertical="center"/>
    </xf>
    <xf numFmtId="49" fontId="19" fillId="4" borderId="19" xfId="0" applyNumberFormat="1" applyFill="1" applyBorder="1" applyAlignment="1">
      <alignment horizontal="left" vertical="center"/>
    </xf>
    <xf numFmtId="300" fontId="19" fillId="2" borderId="19" xfId="0" applyFill="1" applyBorder="1" applyAlignment="1">
      <alignment horizontal="left" vertical="center"/>
    </xf>
    <xf numFmtId="300" fontId="19" fillId="2" borderId="41" xfId="0" applyFill="1" applyBorder="1" applyAlignment="1">
      <alignment horizontal="left" vertical="center"/>
    </xf>
    <xf numFmtId="300" fontId="19" fillId="2" borderId="44" xfId="0" applyFill="1" applyBorder="1" applyAlignment="1">
      <alignment horizontal="left" vertical="center"/>
    </xf>
    <xf numFmtId="49" fontId="19" fillId="2" borderId="45" xfId="0" applyNumberFormat="1" applyFill="1" applyBorder="1" applyAlignment="1">
      <alignment horizontal="left" vertical="center"/>
    </xf>
    <xf numFmtId="300" fontId="19" fillId="2" borderId="46" xfId="0" applyFill="1" applyBorder="1" applyAlignment="1">
      <alignment horizontal="left" vertical="center"/>
    </xf>
    <xf numFmtId="300" fontId="19" fillId="2" borderId="47" xfId="0" applyFill="1" applyBorder="1">
      <alignment vertical="center"/>
    </xf>
    <xf numFmtId="300" fontId="19" fillId="2" borderId="42" xfId="0" applyFill="1" applyBorder="1">
      <alignment vertical="center"/>
    </xf>
    <xf numFmtId="49" fontId="19" fillId="2" borderId="48" xfId="0" applyNumberFormat="1" applyFill="1" applyBorder="1" applyAlignment="1">
      <alignment horizontal="left" vertical="center"/>
    </xf>
    <xf numFmtId="300" fontId="19" fillId="2" borderId="49" xfId="0" applyFill="1" applyBorder="1" applyAlignment="1">
      <alignment horizontal="left" vertical="center"/>
    </xf>
    <xf numFmtId="300" fontId="19" fillId="2" borderId="50" xfId="0" applyFill="1" applyBorder="1">
      <alignment vertical="center"/>
    </xf>
    <xf numFmtId="49" fontId="19" fillId="2" borderId="51" xfId="0" applyNumberFormat="1" applyFill="1" applyBorder="1" applyAlignment="1">
      <alignment horizontal="left" vertical="center"/>
    </xf>
    <xf numFmtId="300" fontId="19" fillId="2" borderId="52" xfId="0" applyFill="1" applyBorder="1" applyAlignment="1">
      <alignment horizontal="left" vertical="center"/>
    </xf>
    <xf numFmtId="300" fontId="19" fillId="2" borderId="53" xfId="0" applyFill="1" applyBorder="1">
      <alignment vertical="center"/>
    </xf>
    <xf numFmtId="300" fontId="3" fillId="4" borderId="19" xfId="0" applyFont="1" applyFill="1" applyBorder="1" applyAlignment="1">
      <alignment horizontal="left" vertical="center"/>
    </xf>
    <xf numFmtId="300" fontId="19" fillId="2" borderId="54" xfId="0" applyFill="1" applyBorder="1" applyAlignment="1">
      <alignment horizontal="left" vertical="center"/>
    </xf>
    <xf numFmtId="300" fontId="19" fillId="2" borderId="54" xfId="0" applyFill="1" applyBorder="1">
      <alignment vertical="center"/>
    </xf>
    <xf numFmtId="300" fontId="19" fillId="2" borderId="55" xfId="0" applyFill="1" applyBorder="1" applyAlignment="1">
      <alignment horizontal="left" vertical="center"/>
    </xf>
    <xf numFmtId="300" fontId="19" fillId="2" borderId="56" xfId="0" applyFill="1" applyBorder="1" applyAlignment="1">
      <alignment horizontal="left" vertical="center"/>
    </xf>
    <xf numFmtId="300" fontId="19" fillId="4" borderId="56" xfId="0" applyFill="1" applyBorder="1" applyAlignment="1">
      <alignment horizontal="left" vertical="center"/>
    </xf>
    <xf numFmtId="300" fontId="19" fillId="2" borderId="57" xfId="0" applyFill="1" applyBorder="1" applyAlignment="1">
      <alignment horizontal="left" vertical="center"/>
    </xf>
    <xf numFmtId="300" fontId="19" fillId="2" borderId="58" xfId="0" applyFill="1" applyBorder="1">
      <alignment vertical="center"/>
    </xf>
    <xf numFmtId="49" fontId="19" fillId="2" borderId="19" xfId="0" applyNumberFormat="1" applyFill="1" applyBorder="1" applyAlignment="1">
      <alignment horizontal="left" vertical="center" wrapText="1"/>
    </xf>
    <xf numFmtId="300" fontId="3" fillId="2" borderId="40" xfId="0" applyFont="1" applyFill="1" applyBorder="1" applyAlignment="1">
      <alignment horizontal="left" vertical="center"/>
    </xf>
    <xf numFmtId="300" fontId="19" fillId="2" borderId="46" xfId="0" applyFill="1" applyBorder="1">
      <alignment vertical="center"/>
    </xf>
    <xf numFmtId="300" fontId="19" fillId="2" borderId="49" xfId="0" applyFill="1" applyBorder="1">
      <alignment vertical="center"/>
    </xf>
    <xf numFmtId="300" fontId="19" fillId="2" borderId="52" xfId="0" applyFill="1" applyBorder="1">
      <alignment vertical="center"/>
    </xf>
    <xf numFmtId="49" fontId="19" fillId="4" borderId="56" xfId="0" applyNumberFormat="1" applyFill="1" applyBorder="1" applyAlignment="1">
      <alignment horizontal="left" vertical="center"/>
    </xf>
    <xf numFmtId="300" fontId="3" fillId="2" borderId="55" xfId="0" applyFont="1" applyFill="1" applyBorder="1" applyAlignment="1">
      <alignment horizontal="left" vertical="center"/>
    </xf>
    <xf numFmtId="300" fontId="19" fillId="2" borderId="58" xfId="0" applyFill="1" applyBorder="1" applyAlignment="1">
      <alignment horizontal="left" vertical="center"/>
    </xf>
    <xf numFmtId="49" fontId="19" fillId="2" borderId="59" xfId="0" applyNumberFormat="1" applyFill="1" applyBorder="1" applyAlignment="1">
      <alignment horizontal="left" vertical="center"/>
    </xf>
    <xf numFmtId="49" fontId="19" fillId="2" borderId="60" xfId="0" applyNumberFormat="1" applyFill="1" applyBorder="1" applyAlignment="1">
      <alignment horizontal="left" vertical="center"/>
    </xf>
    <xf numFmtId="49" fontId="19" fillId="2" borderId="61" xfId="0" applyNumberFormat="1" applyFill="1" applyBorder="1" applyAlignment="1">
      <alignment horizontal="left" vertical="center"/>
    </xf>
    <xf numFmtId="49" fontId="19" fillId="2" borderId="62" xfId="0" applyNumberFormat="1" applyFill="1" applyBorder="1" applyAlignment="1">
      <alignment horizontal="left" vertical="center"/>
    </xf>
    <xf numFmtId="49" fontId="19" fillId="2" borderId="34" xfId="0" applyNumberFormat="1" applyFill="1" applyBorder="1" applyAlignment="1">
      <alignment horizontal="left" vertical="center"/>
    </xf>
    <xf numFmtId="49" fontId="19" fillId="2" borderId="63" xfId="0" applyNumberFormat="1" applyFill="1" applyBorder="1" applyAlignment="1">
      <alignment horizontal="left" vertical="center"/>
    </xf>
    <xf numFmtId="300" fontId="19" fillId="2" borderId="64" xfId="0" applyFill="1" applyBorder="1" applyAlignment="1">
      <alignment horizontal="left" vertical="center"/>
    </xf>
    <xf numFmtId="300" fontId="19" fillId="2" borderId="13" xfId="0" applyFill="1" applyBorder="1" applyAlignment="1">
      <alignment horizontal="left" vertical="center"/>
    </xf>
    <xf numFmtId="49" fontId="3" fillId="4" borderId="65" xfId="0" applyNumberFormat="1" applyFont="1" applyFill="1" applyBorder="1" applyAlignment="1">
      <alignment horizontal="left" vertical="center"/>
    </xf>
    <xf numFmtId="300" fontId="19" fillId="4" borderId="41" xfId="0" applyFill="1" applyBorder="1" applyAlignment="1">
      <alignment horizontal="left" vertical="center"/>
    </xf>
    <xf numFmtId="300" fontId="19" fillId="4" borderId="65" xfId="0" applyFill="1" applyBorder="1" applyAlignment="1">
      <alignment horizontal="left" vertical="center"/>
    </xf>
    <xf numFmtId="49" fontId="19" fillId="4" borderId="65" xfId="0" applyNumberFormat="1" applyFill="1" applyBorder="1" applyAlignment="1">
      <alignment horizontal="left" vertical="center"/>
    </xf>
    <xf numFmtId="49" fontId="19" fillId="2" borderId="65" xfId="0" applyNumberFormat="1" applyFill="1" applyBorder="1" applyAlignment="1">
      <alignment horizontal="left" vertical="center"/>
    </xf>
    <xf numFmtId="300" fontId="19" fillId="2" borderId="66" xfId="0" applyFill="1" applyBorder="1" applyAlignment="1">
      <alignment horizontal="left" vertical="center"/>
    </xf>
    <xf numFmtId="49" fontId="19" fillId="2" borderId="67" xfId="0" applyNumberFormat="1" applyFill="1" applyBorder="1" applyAlignment="1">
      <alignment horizontal="left" vertical="center"/>
    </xf>
    <xf numFmtId="300" fontId="19" fillId="2" borderId="68" xfId="0" applyFill="1" applyBorder="1" applyAlignment="1">
      <alignment horizontal="left" vertical="center"/>
    </xf>
    <xf numFmtId="300" fontId="19" fillId="2" borderId="69" xfId="0" applyFill="1" applyBorder="1" applyAlignment="1">
      <alignment horizontal="left" vertical="center"/>
    </xf>
    <xf numFmtId="300" fontId="19" fillId="4" borderId="67" xfId="0" applyFill="1" applyBorder="1" applyAlignment="1">
      <alignment horizontal="left" vertical="center"/>
    </xf>
    <xf numFmtId="300" fontId="19" fillId="4" borderId="68" xfId="0" applyFill="1" applyBorder="1" applyAlignment="1">
      <alignment horizontal="left" vertical="center"/>
    </xf>
    <xf numFmtId="49" fontId="19" fillId="2" borderId="33" xfId="0" applyNumberFormat="1" applyFill="1" applyBorder="1" applyAlignment="1">
      <alignment horizontal="left" vertical="center"/>
    </xf>
    <xf numFmtId="300" fontId="19" fillId="2" borderId="67" xfId="0" applyFill="1" applyBorder="1" applyAlignment="1">
      <alignment horizontal="left" vertical="center"/>
    </xf>
    <xf numFmtId="300" fontId="19" fillId="2" borderId="56" xfId="0" applyFill="1" applyBorder="1">
      <alignment vertical="center"/>
    </xf>
    <xf numFmtId="49" fontId="19" fillId="2" borderId="70" xfId="0" applyNumberFormat="1" applyFill="1" applyBorder="1" applyAlignment="1">
      <alignment horizontal="left" vertical="center"/>
    </xf>
    <xf numFmtId="49" fontId="19" fillId="2" borderId="71" xfId="0" applyNumberFormat="1" applyFill="1" applyBorder="1" applyAlignment="1">
      <alignment horizontal="left" vertical="center"/>
    </xf>
    <xf numFmtId="49" fontId="19" fillId="2" borderId="54" xfId="0" applyNumberFormat="1" applyFill="1" applyBorder="1" applyAlignment="1">
      <alignment horizontal="left" vertical="center"/>
    </xf>
    <xf numFmtId="300" fontId="19" fillId="2" borderId="63" xfId="0" applyFill="1" applyBorder="1">
      <alignment vertical="center"/>
    </xf>
    <xf numFmtId="300" fontId="19" fillId="4" borderId="72" xfId="0" applyFill="1" applyBorder="1" applyAlignment="1">
      <alignment horizontal="left" vertical="center"/>
    </xf>
    <xf numFmtId="300" fontId="19" fillId="4" borderId="73" xfId="0" applyFill="1" applyBorder="1" applyAlignment="1">
      <alignment horizontal="left" vertical="center"/>
    </xf>
    <xf numFmtId="300" fontId="19" fillId="2" borderId="74" xfId="0" applyFill="1" applyBorder="1" applyAlignment="1">
      <alignment horizontal="left" vertical="center"/>
    </xf>
    <xf numFmtId="300" fontId="19" fillId="5" borderId="29" xfId="0" applyFill="1" applyBorder="1" applyAlignment="1">
      <alignment horizontal="left" vertical="center"/>
    </xf>
    <xf numFmtId="300" fontId="19" fillId="2" borderId="75" xfId="0" applyFill="1" applyBorder="1" applyAlignment="1">
      <alignment horizontal="left" vertical="center"/>
    </xf>
    <xf numFmtId="300" fontId="19" fillId="2" borderId="76" xfId="0" applyFill="1" applyBorder="1">
      <alignment vertical="center"/>
    </xf>
    <xf numFmtId="300" fontId="19" fillId="5" borderId="1" xfId="0" applyFill="1" applyBorder="1" applyAlignment="1">
      <alignment horizontal="left" vertical="center"/>
    </xf>
    <xf numFmtId="0" fontId="0" fillId="6" borderId="77" xfId="0">
      <alignment horizontal="left" vertical="center"/>
    </xf>
    <xf numFmtId="49" fontId="3" fillId="0" borderId="78" xfId="0" applyNumberFormat="1" applyFont="1" applyBorder="1">
      <alignment vertical="center"/>
    </xf>
    <xf numFmtId="300" fontId="19" fillId="0" borderId="79" xfId="0" applyBorder="1">
      <alignment vertical="center"/>
    </xf>
    <xf numFmtId="300" fontId="19" fillId="0" borderId="80" xfId="0" applyBorder="1">
      <alignment vertical="center"/>
    </xf>
    <xf numFmtId="300" fontId="19" fillId="0" borderId="78" xfId="0" applyBorder="1">
      <alignment vertical="center"/>
    </xf>
    <xf numFmtId="300" fontId="21" fillId="6" borderId="4" xfId="2">
      <alignment vertical="center"/>
    </xf>
    <xf numFmtId="49" fontId="6" fillId="0" borderId="81" xfId="0" applyNumberFormat="1" applyFont="1" applyBorder="1" applyAlignment="1">
      <alignment horizontal="center" vertical="center"/>
    </xf>
    <xf numFmtId="300" fontId="19" fillId="0" borderId="82" xfId="0" applyBorder="1">
      <alignment vertical="center"/>
    </xf>
    <xf numFmtId="300" fontId="19" fillId="0" borderId="83" xfId="0" applyBorder="1">
      <alignment vertical="center"/>
    </xf>
    <xf numFmtId="49" fontId="19" fillId="0" borderId="81" xfId="0" applyNumberFormat="1" applyBorder="1" applyAlignment="1">
      <alignment horizontal="center" vertical="center"/>
    </xf>
    <xf numFmtId="49" fontId="4" fillId="0" borderId="84" xfId="0" applyNumberFormat="1" applyFont="1" applyBorder="1">
      <alignment vertical="center"/>
    </xf>
    <xf numFmtId="49" fontId="4" fillId="0" borderId="85" xfId="0" applyNumberFormat="1" applyFont="1" applyBorder="1">
      <alignment vertical="center"/>
    </xf>
    <xf numFmtId="49" fontId="4" fillId="0" borderId="86" xfId="0" applyNumberFormat="1" applyFont="1" applyBorder="1">
      <alignment vertical="center"/>
    </xf>
    <xf numFmtId="49" fontId="7" fillId="0" borderId="84" xfId="0" applyNumberFormat="1" applyFont="1" applyBorder="1">
      <alignment vertical="center"/>
    </xf>
    <xf numFmtId="300" fontId="7" fillId="0" borderId="85" xfId="0" applyFont="1" applyBorder="1">
      <alignment vertical="center"/>
    </xf>
    <xf numFmtId="300" fontId="7" fillId="0" borderId="86" xfId="0" applyFont="1" applyBorder="1">
      <alignment vertical="center"/>
    </xf>
    <xf numFmtId="0" fontId="7" fillId="0" borderId="84" xfId="0" applyNumberFormat="1" applyFont="1" applyBorder="1">
      <alignment vertical="center"/>
    </xf>
    <xf numFmtId="0" fontId="7" fillId="0" borderId="85" xfId="0" applyNumberFormat="1" applyFont="1" applyBorder="1">
      <alignment vertical="center"/>
    </xf>
    <xf numFmtId="0" fontId="7" fillId="0" borderId="86" xfId="0" applyNumberFormat="1" applyFont="1" applyBorder="1">
      <alignment vertical="center"/>
    </xf>
    <xf numFmtId="300" fontId="7" fillId="0" borderId="84" xfId="0" applyFont="1" applyBorder="1">
      <alignment vertical="center"/>
    </xf>
    <xf numFmtId="300" fontId="7" fillId="0" borderId="87" xfId="0" applyFont="1" applyBorder="1">
      <alignment vertical="center"/>
    </xf>
    <xf numFmtId="300" fontId="7" fillId="0" borderId="88" xfId="0" applyFont="1" applyBorder="1">
      <alignment vertical="center"/>
    </xf>
    <xf numFmtId="300" fontId="7" fillId="0" borderId="89" xfId="0" applyFont="1" applyBorder="1">
      <alignment vertical="center"/>
    </xf>
    <xf numFmtId="49" fontId="8" fillId="7" borderId="19" xfId="1" applyNumberFormat="1" applyFont="1" applyFill="1" applyBorder="1" applyAlignment="1">
      <alignment horizontal="center" vertical="center"/>
    </xf>
    <xf numFmtId="300" fontId="8" fillId="7" borderId="19" xfId="1" applyFont="1" applyFill="1" applyBorder="1" applyAlignment="1">
      <alignment horizontal="center" vertical="center"/>
    </xf>
    <xf numFmtId="300" fontId="8" fillId="7" borderId="90" xfId="1" applyFont="1" applyFill="1" applyBorder="1" applyAlignment="1">
      <alignment horizontal="center" vertical="center"/>
    </xf>
    <xf numFmtId="300" fontId="20" fillId="6" borderId="91" xfId="1" applyBorder="1">
      <alignment vertical="center"/>
    </xf>
    <xf numFmtId="300" fontId="20" fillId="6" borderId="92" xfId="1" applyBorder="1">
      <alignment vertical="center"/>
    </xf>
    <xf numFmtId="300" fontId="20" fillId="6" borderId="19" xfId="1" applyBorder="1" applyAlignment="1">
      <alignment horizontal="center" vertical="center"/>
    </xf>
    <xf numFmtId="300" fontId="8" fillId="7" borderId="93" xfId="1" applyFont="1" applyFill="1" applyBorder="1" applyAlignment="1">
      <alignment horizontal="center" vertical="center" wrapText="1"/>
    </xf>
    <xf numFmtId="300" fontId="8" fillId="7" borderId="19" xfId="1" applyFont="1" applyFill="1" applyBorder="1" applyAlignment="1">
      <alignment horizontal="center" vertical="center" wrapText="1"/>
    </xf>
    <xf numFmtId="300" fontId="8" fillId="7" borderId="90" xfId="1" applyFont="1" applyFill="1" applyBorder="1" applyAlignment="1">
      <alignment horizontal="center" vertical="center" wrapText="1"/>
    </xf>
    <xf numFmtId="300" fontId="9" fillId="6" borderId="4" xfId="1" applyFont="1" applyAlignment="1">
      <alignment horizontal="center" vertical="center"/>
    </xf>
    <xf numFmtId="300" fontId="9" fillId="6" borderId="4" xfId="1" applyFont="1">
      <alignment vertical="center"/>
    </xf>
    <xf numFmtId="49" fontId="20" fillId="6" borderId="19" xfId="1" applyNumberFormat="1" applyBorder="1" applyAlignment="1">
      <alignment horizontal="center" vertical="center"/>
    </xf>
    <xf numFmtId="300" fontId="20" fillId="6" borderId="94" xfId="1" applyBorder="1">
      <alignment vertical="center"/>
    </xf>
    <xf numFmtId="300" fontId="20" fillId="6" borderId="90" xfId="1" applyBorder="1" applyAlignment="1">
      <alignment horizontal="center" vertical="center"/>
    </xf>
    <xf numFmtId="300" fontId="8" fillId="8" borderId="19" xfId="1" applyFont="1" applyFill="1" applyBorder="1" applyAlignment="1">
      <alignment horizontal="center" vertical="center"/>
    </xf>
    <xf numFmtId="300" fontId="8" fillId="9" borderId="19" xfId="1" applyFont="1" applyFill="1" applyBorder="1" applyAlignment="1">
      <alignment horizontal="center" vertical="center"/>
    </xf>
    <xf numFmtId="49" fontId="8" fillId="10" borderId="19" xfId="1" applyNumberFormat="1" applyFont="1" applyFill="1" applyBorder="1" applyAlignment="1">
      <alignment horizontal="center" vertical="center"/>
    </xf>
    <xf numFmtId="0" fontId="8" fillId="10" borderId="19" xfId="1" applyNumberFormat="1" applyFont="1" applyFill="1" applyBorder="1" applyAlignment="1">
      <alignment horizontal="center" vertical="center"/>
    </xf>
    <xf numFmtId="300" fontId="8" fillId="10" borderId="90" xfId="1" applyFont="1" applyFill="1" applyBorder="1" applyAlignment="1">
      <alignment horizontal="center" vertical="center"/>
    </xf>
    <xf numFmtId="300" fontId="8" fillId="11" borderId="19" xfId="1" applyFont="1" applyFill="1" applyBorder="1" applyAlignment="1">
      <alignment horizontal="center" vertical="center"/>
    </xf>
    <xf numFmtId="0" fontId="8" fillId="11" borderId="19" xfId="1" applyNumberFormat="1" applyFont="1" applyFill="1" applyBorder="1" applyAlignment="1">
      <alignment horizontal="center" vertical="center"/>
    </xf>
    <xf numFmtId="300" fontId="10" fillId="12" borderId="19" xfId="1" applyFont="1" applyFill="1" applyBorder="1" applyAlignment="1">
      <alignment horizontal="center" vertical="center"/>
    </xf>
    <xf numFmtId="300" fontId="9" fillId="6" borderId="19" xfId="1" applyFont="1" applyBorder="1">
      <alignment vertical="center"/>
    </xf>
    <xf numFmtId="300" fontId="11" fillId="6" borderId="4" xfId="1" applyFont="1">
      <alignment vertical="center"/>
    </xf>
    <xf numFmtId="300" fontId="20" fillId="6" borderId="19" xfId="1" applyBorder="1">
      <alignment vertical="center"/>
    </xf>
    <xf numFmtId="300" fontId="12" fillId="10" borderId="19" xfId="1" applyFont="1" applyFill="1" applyBorder="1" applyAlignment="1">
      <alignment horizontal="center" vertical="center"/>
    </xf>
    <xf numFmtId="300" fontId="8" fillId="10" borderId="19" xfId="1" applyFont="1" applyFill="1" applyBorder="1" applyAlignment="1">
      <alignment horizontal="center" vertical="center"/>
    </xf>
    <xf numFmtId="0" fontId="8" fillId="8" borderId="19" xfId="1" applyNumberFormat="1" applyFont="1" applyFill="1" applyBorder="1" applyAlignment="1">
      <alignment horizontal="center" vertical="center"/>
    </xf>
    <xf numFmtId="0" fontId="13" fillId="6" borderId="92" xfId="1" applyNumberFormat="1" applyFont="1" applyBorder="1">
      <alignment vertical="center"/>
    </xf>
    <xf numFmtId="300" fontId="8" fillId="6" borderId="4" xfId="1" applyFont="1" applyAlignment="1">
      <alignment horizontal="center" vertical="center"/>
    </xf>
    <xf numFmtId="0" fontId="8" fillId="13" borderId="19" xfId="1" applyNumberFormat="1" applyFont="1" applyFill="1" applyBorder="1" applyAlignment="1">
      <alignment horizontal="center" vertical="center"/>
    </xf>
    <xf numFmtId="0" fontId="8" fillId="7" borderId="90" xfId="1" applyNumberFormat="1" applyFont="1" applyFill="1" applyBorder="1" applyAlignment="1">
      <alignment horizontal="center" vertical="center"/>
    </xf>
    <xf numFmtId="300" fontId="8" fillId="9" borderId="90" xfId="1" applyFont="1" applyFill="1" applyBorder="1" applyAlignment="1">
      <alignment horizontal="center" vertical="center"/>
    </xf>
    <xf numFmtId="300" fontId="8" fillId="9" borderId="92" xfId="1" applyFont="1" applyFill="1" applyBorder="1" applyAlignment="1">
      <alignment horizontal="center" vertical="center"/>
    </xf>
    <xf numFmtId="300" fontId="8" fillId="11" borderId="19" xfId="1" applyFont="1" applyFill="1" applyBorder="1" applyAlignment="1">
      <alignment horizontal="center" vertical="center" wrapText="1"/>
    </xf>
    <xf numFmtId="0" fontId="8" fillId="11" borderId="19" xfId="1" applyNumberFormat="1" applyFont="1" applyFill="1" applyBorder="1" applyAlignment="1">
      <alignment horizontal="center" vertical="center" wrapText="1"/>
    </xf>
    <xf numFmtId="300" fontId="12" fillId="9" borderId="19" xfId="1" applyFont="1" applyFill="1" applyBorder="1" applyAlignment="1">
      <alignment horizontal="center" vertical="center"/>
    </xf>
    <xf numFmtId="300" fontId="8" fillId="14" borderId="19" xfId="1" applyFont="1" applyFill="1" applyBorder="1" applyAlignment="1">
      <alignment horizontal="center" vertical="center"/>
    </xf>
    <xf numFmtId="300" fontId="20" fillId="6" borderId="19" xfId="1" applyBorder="1" applyAlignment="1">
      <alignment horizontal="center" vertical="center" wrapText="1"/>
    </xf>
    <xf numFmtId="0" fontId="8" fillId="6" borderId="4" xfId="1" applyNumberFormat="1" applyFont="1" applyAlignment="1">
      <alignment horizontal="center" vertical="center"/>
    </xf>
    <xf numFmtId="49" fontId="9" fillId="6" borderId="19" xfId="1" applyNumberFormat="1" applyFont="1" applyBorder="1" applyAlignment="1">
      <alignment horizontal="center" vertical="center"/>
    </xf>
    <xf numFmtId="300" fontId="20" fillId="15" borderId="19" xfId="1" applyFill="1" applyBorder="1" applyAlignment="1">
      <alignment horizontal="center" vertical="center" wrapText="1"/>
    </xf>
    <xf numFmtId="300" fontId="9" fillId="6" borderId="19" xfId="1" applyFont="1" applyBorder="1" applyAlignment="1">
      <alignment horizontal="center" vertical="center"/>
    </xf>
    <xf numFmtId="300" fontId="9" fillId="6" borderId="19" xfId="1" applyFont="1" applyBorder="1" applyAlignment="1">
      <alignment vertical="bottom"/>
    </xf>
    <xf numFmtId="300" fontId="8" fillId="13" borderId="19" xfId="1" applyFont="1" applyFill="1" applyBorder="1" applyAlignment="1">
      <alignment horizontal="center" vertical="center"/>
    </xf>
    <xf numFmtId="300" fontId="20" fillId="6" borderId="4" xfId="1">
      <alignment vertical="center"/>
    </xf>
    <xf numFmtId="300" fontId="14" fillId="11" borderId="19" xfId="1" applyFont="1" applyFill="1" applyBorder="1" applyAlignment="1">
      <alignment horizontal="center" vertical="center"/>
    </xf>
    <xf numFmtId="300" fontId="14" fillId="16" borderId="19" xfId="1" applyFont="1" applyFill="1" applyBorder="1" applyAlignment="1">
      <alignment horizontal="center" vertical="center"/>
    </xf>
    <xf numFmtId="300" fontId="15" fillId="6" borderId="95" xfId="1" applyFont="1" applyBorder="1">
      <alignment vertical="center"/>
    </xf>
    <xf numFmtId="300" fontId="14" fillId="7" borderId="19" xfId="1" applyFont="1" applyFill="1" applyBorder="1" applyAlignment="1">
      <alignment horizontal="center" vertical="center"/>
    </xf>
    <xf numFmtId="300" fontId="14" fillId="17" borderId="19" xfId="1" applyFont="1" applyFill="1" applyBorder="1" applyAlignment="1">
      <alignment horizontal="center" vertical="center"/>
    </xf>
    <xf numFmtId="300" fontId="14" fillId="9" borderId="94" xfId="1" applyFont="1" applyFill="1" applyBorder="1" applyAlignment="1">
      <alignment horizontal="center" vertical="center"/>
    </xf>
    <xf numFmtId="300" fontId="14" fillId="13" borderId="96" xfId="1" applyFont="1" applyFill="1" applyBorder="1" applyAlignment="1">
      <alignment horizontal="center" vertical="center"/>
    </xf>
    <xf numFmtId="300" fontId="14" fillId="13" borderId="97" xfId="1" applyFont="1" applyFill="1" applyBorder="1" applyAlignment="1">
      <alignment horizontal="center" vertical="center"/>
    </xf>
    <xf numFmtId="300" fontId="14" fillId="18" borderId="96" xfId="1" applyFont="1" applyFill="1" applyBorder="1" applyAlignment="1">
      <alignment horizontal="center" vertical="center"/>
    </xf>
    <xf numFmtId="300" fontId="14" fillId="18" borderId="97" xfId="1" applyFont="1" applyFill="1" applyBorder="1" applyAlignment="1">
      <alignment horizontal="center" vertical="center"/>
    </xf>
    <xf numFmtId="300" fontId="14" fillId="13" borderId="98" xfId="1" applyFont="1" applyFill="1" applyBorder="1" applyAlignment="1">
      <alignment horizontal="center" vertical="center"/>
    </xf>
    <xf numFmtId="300" fontId="14" fillId="13" borderId="94" xfId="1" applyFont="1" applyFill="1" applyBorder="1" applyAlignment="1">
      <alignment horizontal="center" vertical="center"/>
    </xf>
    <xf numFmtId="300" fontId="16" fillId="6" borderId="4" xfId="1" applyFont="1" applyAlignment="1">
      <alignment horizontal="center" vertical="center"/>
    </xf>
    <xf numFmtId="300" fontId="14" fillId="13" borderId="19" xfId="1" applyFont="1" applyFill="1" applyBorder="1" applyAlignment="1">
      <alignment horizontal="center" vertical="center"/>
    </xf>
    <xf fontId="17" fillId="0" borderId="99" xfId="0">
      <alignment vertical="center"/>
    </xf>
    <xf fontId="7" fillId="0" borderId="84" xfId="0">
      <alignment vertical="center"/>
    </xf>
    <xf numFmtId="0" fontId="19" fillId="4" borderId="19" xfId="0" applyNumberFormat="1" applyFill="1" applyBorder="1" applyAlignment="1">
      <alignment horizontal="left" vertical="center"/>
    </xf>
    <xf numFmtId="300" fontId="19" fillId="6" borderId="4" xfId="0" applyNumberFormat="1" applyFill="1" applyBorder="1" applyAlignment="1">
      <alignment vertical="center"/>
    </xf>
    <xf numFmtId="301" fontId="9" fillId="6" borderId="4" xfId="1" applyNumberFormat="1" applyFont="1" applyFill="1" applyBorder="1" applyAlignment="1">
      <alignment horizontal="center" vertical="center"/>
    </xf>
    <xf numFmtId="300" fontId="9" fillId="6" borderId="4" xfId="1" applyNumberFormat="1" applyFont="1" applyFill="1" applyBorder="1" applyAlignment="1">
      <alignment horizontal="center" vertical="center"/>
    </xf>
    <xf numFmtId="300" fontId="9" fillId="6" borderId="4" xfId="1" applyNumberFormat="1" applyFont="1" applyFill="1" applyBorder="1" applyAlignment="1">
      <alignment vertical="center"/>
    </xf>
    <xf numFmtId="300" fontId="18" fillId="6" borderId="4" xfId="1" applyNumberFormat="1" applyFont="1" applyFill="1" applyBorder="1" applyAlignment="1">
      <alignment horizontal="center" vertical="center"/>
    </xf>
    <xf numFmtId="300" fontId="20" fillId="6" borderId="4" xfId="1" applyNumberFormat="1" applyFill="1" applyBorder="1" applyAlignment="1">
      <alignment vertical="center"/>
    </xf>
  </cellXfs>
  <cellStyles>
    <cellStyle name="Normal" xfId="0" builtinId="0"/>
    <cellStyle name="Normal 2" xfId="1"/>
    <cellStyle name="Hyperlink" xfId="2" builtin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WP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WP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reflection stA="50000" endPos="40000" dir="5400000" sy="-100000" algn="bl" rotWithShape="0"/>
          </a:effectLst>
        </a:effectStyle>
        <a:effectStyle>
          <a:effectLst>
            <a:reflection stA="50000" endPos="40000" dir="5400000" sy="-100000" algn="bl" rotWithShape="0"/>
          </a:effectLst>
        </a:effectStyle>
        <a:effectStyle>
          <a:effectLst>
            <a:outerShdw blurRad="101600" dist="50800" dir="5400000" rotWithShape="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reflection stA="50000" endPos="40000" dir="5400000" sy="-100000" algn="bl" rotWithShape="0"/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blurRad="101600" dist="50800" dir="5400000" rotWithShape="0">
            <a:schemeClr val="accent1">
              <a:alpha val="60000"/>
            </a:scheme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hbr.quest/characters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s://docs.qq.com/sheet/DYXpRaGpEZFBkcktz?tab=vrqqo3" TargetMode="External"/></Relationships>
</file>

<file path=xl/worksheets/sheet1.xml><?xml version="1.0" encoding="utf-8"?>
<worksheet xmlns="http://schemas.openxmlformats.org/spreadsheetml/2006/main">
  <sheetPr/>
  <dimension ref="AO121"/>
  <sheetViews>
    <sheetView showGridLines="0" tabSelected="0" zoomScale="117" workbookViewId="0"/>
  </sheetViews>
  <sheetFormatPr baseColWidth="10" defaultColWidth="9" defaultRowHeight="15.5" customHeight="1"/>
  <cols>
    <col min="1" max="1" width="9" style="229" customWidth="1"/>
    <col min="2" max="2" width="21.5" style="229" customWidth="1"/>
    <col min="3" max="3" width="16.1641" style="229" customWidth="1"/>
    <col min="4" max="4" width="9" style="229" customWidth="1"/>
    <col min="5" max="5" width="12.6641" style="229" customWidth="1"/>
    <col min="6" max="6" width="12" style="229" customWidth="1"/>
    <col min="7" max="7" width="9" style="229" customWidth="1"/>
    <col min="8" max="8" width="18.332" style="229" customWidth="1"/>
    <col min="9" max="9" width="13.6641" style="229" customWidth="1"/>
    <col min="10" max="10" width="11.6641" style="229" customWidth="1"/>
    <col min="11" max="11" width="10" style="229" customWidth="1"/>
    <col min="12" max="13" width="8.5" style="229" customWidth="1"/>
    <col min="14" max="14" width="8.83203" style="229" customWidth="1"/>
    <col min="15" max="15" width="8.33203" style="229" customWidth="1"/>
    <col min="16" max="29" width="9" style="229" customWidth="1"/>
    <col min="30" max="30" width="9.33203" style="229" customWidth="1"/>
    <col min="31" max="33" width="9" style="229" customWidth="1"/>
    <col min="34" max="34" width="10.5" style="229" customWidth="1"/>
    <col min="35" max="37" width="9" style="229" customWidth="1"/>
    <col min="38" max="38" width="9.66406" style="229" customWidth="1"/>
    <col min="39" max="39" width="8.66406" style="229" customWidth="1"/>
    <col min="40" max="40" width="9.66406" style="229" customWidth="1"/>
    <col min="41" max="41" width="9" style="229"/>
  </cols>
  <sheetData>
    <row r="1" spans="1:41" ht="15" customHeight="1">
      <c r="A1" s="4" t="s"/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5" t="s"/>
      <c r="T1" s="5" t="s"/>
      <c r="U1" s="5" t="s"/>
      <c r="V1" s="5" t="s"/>
      <c r="W1" s="5" t="s"/>
      <c r="X1" s="5" t="s"/>
      <c r="Y1" s="4" t="s"/>
      <c r="Z1" s="5" t="s"/>
      <c r="AA1" s="5" t="s"/>
      <c r="AB1" s="5" t="s"/>
      <c r="AC1" s="5" t="s"/>
      <c r="AD1" s="5" t="s"/>
      <c r="AE1" s="5" t="s"/>
      <c r="AF1" s="5" t="s"/>
      <c r="AG1" s="4" t="s"/>
      <c r="AH1" s="6" t="s"/>
      <c r="AI1" s="6" t="s"/>
      <c r="AJ1" s="6" t="s"/>
      <c r="AK1" s="6" t="s"/>
      <c r="AL1" s="6" t="s"/>
      <c r="AM1" s="6" t="s"/>
      <c r="AN1" s="7" t="s"/>
      <c r="AO1" s="7" t="s"/>
    </row>
    <row r="2" spans="1:41" ht="22" customHeight="1">
      <c r="A2" s="4" t="s"/>
      <c r="B2" s="8" t="s">
        <v>1</v>
      </c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9" t="s"/>
      <c r="S2" s="10" t="s">
        <v>2</v>
      </c>
      <c r="T2" s="11" t="s"/>
      <c r="U2" s="11" t="s"/>
      <c r="V2" s="11" t="s"/>
      <c r="W2" s="11" t="s"/>
      <c r="X2" s="12" t="s"/>
      <c r="Y2" s="13" t="s"/>
      <c r="Z2" s="14" t="s">
        <v>3</v>
      </c>
      <c r="AA2" s="15" t="s"/>
      <c r="AB2" s="15" t="s"/>
      <c r="AC2" s="15" t="s"/>
      <c r="AD2" s="15" t="s"/>
      <c r="AE2" s="15" t="s"/>
      <c r="AF2" s="16" t="s"/>
      <c r="AG2" s="17" t="s"/>
      <c r="AH2" s="18" t="s">
        <v>4</v>
      </c>
      <c r="AI2" s="19" t="s"/>
      <c r="AJ2" s="19" t="s"/>
      <c r="AK2" s="19" t="s"/>
      <c r="AL2" s="19" t="s"/>
      <c r="AM2" s="19" t="s"/>
      <c r="AN2" s="19" t="s"/>
      <c r="AO2" s="20" t="s"/>
    </row>
    <row r="3" spans="1:41" ht="18.75" customHeight="1">
      <c r="A3" s="21" t="s"/>
      <c r="B3" s="21" t="s"/>
      <c r="C3" s="21" t="s"/>
      <c r="D3" s="21" t="s"/>
      <c r="E3" s="21" t="s"/>
      <c r="F3" s="21" t="s"/>
      <c r="G3" s="21" t="s"/>
      <c r="H3" s="21" t="s"/>
      <c r="I3" s="21" t="s"/>
      <c r="J3" s="21" t="s"/>
      <c r="K3" s="21" t="s"/>
      <c r="L3" s="21" t="s"/>
      <c r="M3" s="21" t="s"/>
      <c r="N3" s="21" t="s"/>
      <c r="O3" s="21" t="s"/>
      <c r="P3" s="21" t="s"/>
      <c r="Q3" s="21" t="s"/>
      <c r="R3" s="22" t="s"/>
      <c r="S3" s="23" t="s"/>
      <c r="T3" s="24" t="s"/>
      <c r="U3" s="25" t="s"/>
      <c r="V3" s="25" t="s"/>
      <c r="W3" s="25" t="s"/>
      <c r="X3" s="26" t="s"/>
      <c r="Y3" s="13" t="s"/>
      <c r="Z3" s="27" t="s">
        <v>5</v>
      </c>
      <c r="AA3" s="28" t="s">
        <v>6</v>
      </c>
      <c r="AB3" s="29" t="s">
        <v>7</v>
      </c>
      <c r="AC3" s="8" t="s">
        <v>8</v>
      </c>
      <c r="AD3" s="8" t="s">
        <v>9</v>
      </c>
      <c r="AE3" s="8" t="s">
        <v>10</v>
      </c>
      <c r="AF3" s="30" t="s">
        <v>11</v>
      </c>
      <c r="AG3" s="17" t="s"/>
      <c r="AH3" s="31" t="s">
        <v>12</v>
      </c>
      <c r="AI3" s="31" t="s">
        <v>13</v>
      </c>
      <c r="AJ3" s="31" t="s">
        <v>14</v>
      </c>
      <c r="AK3" s="31" t="s">
        <v>15</v>
      </c>
      <c r="AL3" s="31" t="s">
        <v>16</v>
      </c>
      <c r="AM3" s="31" t="s">
        <v>17</v>
      </c>
      <c r="AN3" s="31" t="s">
        <v>18</v>
      </c>
      <c r="AO3" s="31" t="s">
        <v>19</v>
      </c>
    </row>
    <row r="4" spans="1:41" ht="15" customHeight="1">
      <c r="A4" s="21" t="s"/>
      <c r="B4" s="21" t="s"/>
      <c r="C4" s="32" t="s">
        <v>20</v>
      </c>
      <c r="D4" s="33" t="s"/>
      <c r="E4" s="33" t="s"/>
      <c r="F4" s="33" t="s"/>
      <c r="G4" s="33" t="s"/>
      <c r="H4" s="33" t="s"/>
      <c r="I4" s="33" t="s"/>
      <c r="J4" s="33" t="s"/>
      <c r="K4" s="33" t="s"/>
      <c r="L4" s="33" t="s"/>
      <c r="M4" s="33" t="s"/>
      <c r="N4" s="33" t="s"/>
      <c r="O4" s="33" t="s"/>
      <c r="P4" s="33" t="s"/>
      <c r="Q4" s="33" t="s"/>
      <c r="R4" s="22" t="s"/>
      <c r="S4" s="34" t="s">
        <v>21</v>
      </c>
      <c r="T4" s="35" t="s"/>
      <c r="U4" s="35" t="s"/>
      <c r="V4" s="35" t="s"/>
      <c r="W4" s="35" t="s"/>
      <c r="X4" s="36" t="s"/>
      <c r="Y4" s="13" t="s"/>
      <c r="Z4" s="37">
        <v>5</v>
      </c>
      <c r="AA4" s="38" t="s"/>
      <c r="AB4" s="38">
        <v>30</v>
      </c>
      <c r="AC4" s="38">
        <v>15</v>
      </c>
      <c r="AD4" s="4">
        <f>=IF(Z4&gt;9,AC4,IF(Z4=0,5,IF(AC4=0,0,((Z4-1)/9*(AC4-5)+5))))/100+1</f>
        <v>1.09444444444444</v>
      </c>
      <c r="AE4" s="4">
        <f>=(ROUNDDOWN(AB4*AD4,2)+(Z4+AA4)*ROUNDDOWN(AD4*2.5,2))</f>
        <v>46.48</v>
      </c>
      <c r="AF4" s="9">
        <f>=AE4*0.4</f>
        <v>18.592</v>
      </c>
      <c r="AG4" s="17" t="s"/>
      <c r="AH4" s="38" t="s">
        <v>22</v>
      </c>
      <c r="AI4" s="38">
        <v>0.05</v>
      </c>
      <c r="AJ4" s="38">
        <v>18.75</v>
      </c>
      <c r="AK4" s="38">
        <v>1.3</v>
      </c>
      <c r="AL4" s="38">
        <v>5.483</v>
      </c>
      <c r="AM4" s="38">
        <v>7</v>
      </c>
      <c r="AN4" s="38">
        <v>8</v>
      </c>
      <c r="AO4" s="4">
        <f>=SUM(AK5:AK100)/(1+SUMIF(AH5:AH100,"附加",AI5:AI100))</f>
        <v>7.29393166666667</v>
      </c>
    </row>
    <row r="5" spans="1:39" ht="15" customHeight="1">
      <c r="A5" s="21" t="s"/>
      <c r="B5" s="22" t="s"/>
      <c r="C5" s="39" t="s">
        <v>23</v>
      </c>
      <c r="D5" s="39" t="s">
        <v>24</v>
      </c>
      <c r="E5" s="39" t="s">
        <v>25</v>
      </c>
      <c r="F5" s="39" t="s">
        <v>26</v>
      </c>
      <c r="G5" s="39" t="s">
        <v>27</v>
      </c>
      <c r="H5" s="39" t="s">
        <v>28</v>
      </c>
      <c r="I5" s="39" t="s">
        <v>29</v>
      </c>
      <c r="J5" s="39" t="s">
        <v>30</v>
      </c>
      <c r="K5" s="39" t="s">
        <v>31</v>
      </c>
      <c r="L5" s="39" t="s">
        <v>32</v>
      </c>
      <c r="M5" s="39" t="s">
        <v>33</v>
      </c>
      <c r="N5" s="39" t="s">
        <v>34</v>
      </c>
      <c r="O5" s="39" t="s">
        <v>35</v>
      </c>
      <c r="P5" s="39" t="s">
        <v>36</v>
      </c>
      <c r="Q5" s="39" t="s">
        <v>37</v>
      </c>
      <c r="R5" s="40" t="s"/>
      <c r="S5" s="34" t="s">
        <v>38</v>
      </c>
      <c r="T5" s="35" t="s"/>
      <c r="U5" s="35" t="s"/>
      <c r="V5" s="35" t="s"/>
      <c r="W5" s="35" t="s"/>
      <c r="X5" s="36" t="s"/>
      <c r="Y5" s="13" t="s"/>
      <c r="Z5" s="37" t="s"/>
      <c r="AA5" s="38" t="s"/>
      <c r="AB5" s="38">
        <v>30</v>
      </c>
      <c r="AC5" s="38">
        <v>15</v>
      </c>
      <c r="AD5" s="4">
        <f>=IF(Z5&gt;9,AC5,IF(Z5=0,5,IF(AC5=0,0,((Z5-1)/9*(AC5-5)+5))))/100+1</f>
        <v>1.05</v>
      </c>
      <c r="AE5" s="4">
        <f>=(ROUNDDOWN(AB5*AD5,2)+(Z5+AA5)*ROUNDDOWN(AD5*2.5,2))</f>
        <v>31.5</v>
      </c>
      <c r="AF5" s="9">
        <f>=AE5*0.4</f>
        <v>12.6</v>
      </c>
      <c r="AG5" s="17" t="s"/>
      <c r="AH5" s="38" t="s">
        <v>22</v>
      </c>
      <c r="AI5" s="38">
        <v>0.05</v>
      </c>
      <c r="AJ5" s="41">
        <f>=AL$4</f>
        <v>5.483</v>
      </c>
      <c r="AK5" s="42">
        <f>=AI5*AJ5</f>
        <v>0.27415</v>
      </c>
      <c r="AL5" s="4" t="s"/>
      <c r="AM5" s="4" t="s"/>
    </row>
    <row r="6" spans="1:39" ht="15" customHeight="1">
      <c r="A6" s="21" t="s"/>
      <c r="B6" s="22" t="s"/>
      <c r="C6" s="43" t="s"/>
      <c r="D6" s="43" t="s"/>
      <c r="E6" s="43">
        <v>10</v>
      </c>
      <c r="F6" s="43">
        <v>1.5</v>
      </c>
      <c r="G6" s="43">
        <v>1</v>
      </c>
      <c r="H6" s="43">
        <v>1.25</v>
      </c>
      <c r="I6" s="43">
        <v>5</v>
      </c>
      <c r="J6" s="43">
        <v>155</v>
      </c>
      <c r="K6" s="43" t="s"/>
      <c r="L6" s="43" t="s"/>
      <c r="M6" s="43">
        <v>770</v>
      </c>
      <c r="N6" s="43">
        <v>1</v>
      </c>
      <c r="O6" s="43">
        <v>0</v>
      </c>
      <c r="P6" s="43">
        <v>1.5</v>
      </c>
      <c r="Q6" s="228">
        <v>3</v>
      </c>
      <c r="R6" s="40" t="s"/>
      <c r="S6" s="34" t="s">
        <v>39</v>
      </c>
      <c r="T6" s="35" t="s"/>
      <c r="U6" s="35" t="s"/>
      <c r="V6" s="35" t="s"/>
      <c r="W6" s="35" t="s"/>
      <c r="X6" s="36" t="s"/>
      <c r="Y6" s="13" t="s"/>
      <c r="Z6" s="37" t="s"/>
      <c r="AA6" s="38" t="s"/>
      <c r="AB6" s="38">
        <v>30</v>
      </c>
      <c r="AC6" s="38">
        <v>15</v>
      </c>
      <c r="AD6" s="4">
        <f>=IF(Z6&gt;9,AC6,IF(Z6=0,5,IF(AC6=0,0,((Z6-1)/9*(AC6-5)+5))))/100+1</f>
        <v>1.05</v>
      </c>
      <c r="AE6" s="4">
        <f>=(ROUNDDOWN(AB6*AD6,2)+(Z6+AA6)*ROUNDDOWN(AD6*2.5,2))</f>
        <v>31.5</v>
      </c>
      <c r="AF6" s="9">
        <f>=AE6*0.4</f>
        <v>12.6</v>
      </c>
      <c r="AG6" s="17" t="s"/>
      <c r="AH6" s="38" t="s">
        <v>22</v>
      </c>
      <c r="AI6" s="38">
        <v>0.05</v>
      </c>
      <c r="AJ6" s="4">
        <f>=MIN(AN$4,AJ5+IF(AH6="原始",$AJ$4/COUNTIF($AH$5:$AH$100,"原始")*$AM$4/100*$AK$4,AI6*$AJ$4*$AM$4/100*$AK$4))</f>
        <v>5.67258333333333</v>
      </c>
      <c r="AK6" s="42">
        <f>=AI6*AJ6</f>
        <v>0.283629166666667</v>
      </c>
      <c r="AL6" s="4" t="s"/>
      <c r="AM6" s="4" t="s"/>
    </row>
    <row r="7" spans="1:39" ht="15" customHeight="1">
      <c r="A7" s="21" t="s"/>
      <c r="B7" s="21" t="s"/>
      <c r="C7" s="44" t="s"/>
      <c r="D7" s="44" t="s"/>
      <c r="E7" s="44" t="s"/>
      <c r="F7" s="44" t="s"/>
      <c r="G7" s="44" t="s"/>
      <c r="H7" s="44" t="s"/>
      <c r="I7" s="44" t="s"/>
      <c r="J7" s="44" t="s"/>
      <c r="K7" s="45" t="s">
        <v>40</v>
      </c>
      <c r="L7" s="44" t="s"/>
      <c r="M7" s="44" t="s"/>
      <c r="N7" s="44" t="s"/>
      <c r="O7" s="44" t="s"/>
      <c r="P7" s="44" t="s"/>
      <c r="Q7" s="44" t="s"/>
      <c r="R7" s="22" t="s"/>
      <c r="S7" s="46" t="s">
        <v>41</v>
      </c>
      <c r="T7" s="35" t="s"/>
      <c r="U7" s="35" t="s"/>
      <c r="V7" s="35" t="s"/>
      <c r="W7" s="35" t="s"/>
      <c r="X7" s="36" t="s"/>
      <c r="Y7" s="13" t="s"/>
      <c r="Z7" s="47" t="s"/>
      <c r="AA7" s="48" t="s"/>
      <c r="AB7" s="48">
        <v>30</v>
      </c>
      <c r="AC7" s="48">
        <v>15</v>
      </c>
      <c r="AD7" s="4">
        <f>=IF(Z7&gt;9,AC7,IF(Z7=0,5,IF(AC7=0,0,((Z7-1)/9*(AC7-5)+5))))/100+1</f>
        <v>1.05</v>
      </c>
      <c r="AE7" s="5">
        <f>=(ROUNDDOWN(AB7*AD7,2)+(Z7+AA7)*ROUNDDOWN(AD7*2.5,2))</f>
        <v>31.5</v>
      </c>
      <c r="AF7" s="49">
        <f>=AE7*0.4</f>
        <v>12.6</v>
      </c>
      <c r="AG7" s="17" t="s"/>
      <c r="AH7" s="38" t="s">
        <v>22</v>
      </c>
      <c r="AI7" s="38">
        <v>0.05</v>
      </c>
      <c r="AJ7" s="4">
        <f>=MIN(AN$4,AJ6+IF(AH7="原始",$AJ$4/COUNTIF($AH$5:$AH$100,"原始")*$AM$4/100*$AK$4,AI7*$AJ$4*$AM$4/100*$AK$4))</f>
        <v>5.86216666666667</v>
      </c>
      <c r="AK7" s="42">
        <f>=AI7*AJ7</f>
        <v>0.293108333333333</v>
      </c>
      <c r="AL7" s="4" t="s"/>
      <c r="AM7" s="4" t="s"/>
    </row>
    <row r="8" spans="1:39" ht="15" customHeight="1">
      <c r="A8" s="21" t="s"/>
      <c r="B8" s="21" t="s"/>
      <c r="C8" s="21" t="s"/>
      <c r="D8" s="21" t="s"/>
      <c r="E8" s="21" t="s"/>
      <c r="F8" s="21" t="s"/>
      <c r="G8" s="21" t="s"/>
      <c r="H8" s="21" t="s"/>
      <c r="I8" s="21" t="s"/>
      <c r="J8" s="21" t="s"/>
      <c r="K8" s="21" t="s"/>
      <c r="L8" s="21" t="s"/>
      <c r="M8" s="21" t="s"/>
      <c r="N8" s="21" t="s"/>
      <c r="O8" s="21" t="s"/>
      <c r="P8" s="21" t="s"/>
      <c r="Q8" s="21" t="s"/>
      <c r="R8" s="22" t="s"/>
      <c r="S8" s="50" t="s">
        <v>42</v>
      </c>
      <c r="T8" s="51">
        <f>=(T4*2+T5)/3</f>
        <v>0</v>
      </c>
      <c r="U8" s="21">
        <f>=(U4*2+U5)/3</f>
        <v>0</v>
      </c>
      <c r="V8" s="21">
        <f>=(V4*2+V5)/3</f>
        <v>0</v>
      </c>
      <c r="W8" s="21">
        <f>=(W4*2+W5)/3</f>
        <v>0</v>
      </c>
      <c r="X8" s="22">
        <f>=(X4*2+X5)/3</f>
        <v>0</v>
      </c>
      <c r="Y8" s="17" t="s"/>
      <c r="Z8" s="15" t="s"/>
      <c r="AA8" s="15" t="s"/>
      <c r="AB8" s="15" t="s"/>
      <c r="AC8" s="15" t="s"/>
      <c r="AD8" s="15" t="s"/>
      <c r="AE8" s="15" t="s"/>
      <c r="AF8" s="15" t="s"/>
      <c r="AG8" s="4" t="s"/>
      <c r="AH8" s="38" t="s">
        <v>22</v>
      </c>
      <c r="AI8" s="38">
        <v>0.05</v>
      </c>
      <c r="AJ8" s="4">
        <f>=MIN(AN$4,AJ7+IF(AH8="原始",$AJ$4/COUNTIF($AH$5:$AH$100,"原始")*$AM$4/100*$AK$4,AI8*$AJ$4*$AM$4/100*$AK$4))</f>
        <v>6.05175</v>
      </c>
      <c r="AK8" s="42">
        <f>=AI8*AJ8</f>
        <v>0.3025875</v>
      </c>
      <c r="AL8" s="4" t="s"/>
      <c r="AM8" s="4" t="s"/>
    </row>
    <row r="9" spans="1:39" ht="15" customHeight="1">
      <c r="A9" s="21" t="s"/>
      <c r="B9" s="21" t="s"/>
      <c r="C9" s="52" t="s">
        <v>43</v>
      </c>
      <c r="D9" s="53" t="s">
        <v>44</v>
      </c>
      <c r="E9" s="52" t="s">
        <v>45</v>
      </c>
      <c r="F9" s="52" t="s">
        <v>46</v>
      </c>
      <c r="G9" s="52" t="s">
        <v>47</v>
      </c>
      <c r="H9" s="21" t="s"/>
      <c r="I9" s="52" t="s">
        <v>48</v>
      </c>
      <c r="J9" s="52" t="s">
        <v>49</v>
      </c>
      <c r="K9" s="52" t="s">
        <v>50</v>
      </c>
      <c r="L9" s="52" t="s">
        <v>51</v>
      </c>
      <c r="M9" s="21" t="s"/>
      <c r="N9" s="21" t="s"/>
      <c r="O9" s="21" t="s"/>
      <c r="P9" s="21" t="s"/>
      <c r="Q9" s="21" t="s"/>
      <c r="R9" s="22" t="s"/>
      <c r="S9" s="54" t="s">
        <v>52</v>
      </c>
      <c r="T9" s="51">
        <f>=(T5*2+T4)/3</f>
        <v>0</v>
      </c>
      <c r="U9" s="21">
        <f>=(U5*2+U4)/3</f>
        <v>0</v>
      </c>
      <c r="V9" s="21">
        <f>=(V5*2+V4)/3</f>
        <v>0</v>
      </c>
      <c r="W9" s="21">
        <f>=(W5*2+W4)/3</f>
        <v>0</v>
      </c>
      <c r="X9" s="22">
        <f>=(X5*2+X4)/3</f>
        <v>0</v>
      </c>
      <c r="Y9" s="17" t="s"/>
      <c r="Z9" s="4" t="s"/>
      <c r="AA9" s="4" t="s"/>
      <c r="AB9" s="4" t="s"/>
      <c r="AC9" s="4" t="s"/>
      <c r="AD9" s="4" t="s"/>
      <c r="AE9" s="4" t="s"/>
      <c r="AF9" s="4" t="s"/>
      <c r="AG9" s="4" t="s"/>
      <c r="AH9" s="38" t="s">
        <v>22</v>
      </c>
      <c r="AI9" s="38">
        <v>0.05</v>
      </c>
      <c r="AJ9" s="4">
        <f>=MIN(AN$4,AJ8+IF(AH9="原始",$AJ$4/COUNTIF($AH$5:$AH$100,"原始")*$AM$4/100*$AK$4,AI9*$AJ$4*$AM$4/100*$AK$4))</f>
        <v>6.24133333333333</v>
      </c>
      <c r="AK9" s="42">
        <f>=AI9*AJ9</f>
        <v>0.312066666666667</v>
      </c>
      <c r="AL9" s="4" t="s"/>
      <c r="AM9" s="4" t="s"/>
    </row>
    <row r="10" spans="1:39" ht="15" customHeight="1">
      <c r="A10" s="21" t="s"/>
      <c r="B10" s="21" t="s"/>
      <c r="C10" s="55">
        <f>=D10/2</f>
        <v>8542.5</v>
      </c>
      <c r="D10" s="56">
        <v>17085</v>
      </c>
      <c r="E10" s="57">
        <f>=C10*(1+0.05*(E6-1))</f>
        <v>12386.625</v>
      </c>
      <c r="F10" s="21">
        <f>=D10*(1+0.02*(E6-1))</f>
        <v>20160.3</v>
      </c>
      <c r="G10" s="21">
        <f>=IF((L6+K6+N6*50-J6-M6)&gt;=0,F10,IF((L6+K6+N6*50-M6)&gt;=0,E10+(F10-E10)*(L6+K6+N6*50-M6)/J6,IF((L6+K6+N6*50-M6+J6)&gt;=0,(L6+K6+N6*50-M6+J6)/J6*(E10-1),1)))</f>
        <v>1</v>
      </c>
      <c r="H10" s="21" t="s"/>
      <c r="I10" s="21">
        <f>=IF((L6+K6+N6*50-J6-M6-I6*20)&gt;=0,D10*0.02*I6,IF((L6+K6+N6*50-M6)&gt;=0,((L6+K6+N6*50-M6)*((D10-C10)*0.02*I6)/(I6*20+J6)+C10*0.02*I6),IF((L6+K6+N6*50+J6-M6+I6*20)&gt;=0,(L6+K6+N6*50+J6-M6+I6*20)/(J6+I6*20)*C10*0.02*I6,1)))</f>
        <v>1</v>
      </c>
      <c r="J10" s="21">
        <f>=IF(L6+K6+N6*50-M6-J6&gt;0,G10*25/10000*(L6+K6+N6*50-M6-J6),0)</f>
        <v>0</v>
      </c>
      <c r="K10" s="21">
        <f>=G10+I10+J10</f>
        <v>2</v>
      </c>
      <c r="L10" s="21">
        <f>=K10*F6*G6*H6</f>
        <v>3.75</v>
      </c>
      <c r="M10" s="21" t="s"/>
      <c r="N10" s="21" t="s"/>
      <c r="O10" s="21" t="s"/>
      <c r="P10" s="21" t="s"/>
      <c r="Q10" s="21" t="s"/>
      <c r="R10" s="22" t="s"/>
      <c r="S10" s="54" t="s">
        <v>53</v>
      </c>
      <c r="T10" s="51">
        <f>=(T6*2+T7)/3</f>
        <v>0</v>
      </c>
      <c r="U10" s="21">
        <f>=(U6*2+U7)/3</f>
        <v>0</v>
      </c>
      <c r="V10" s="21">
        <f>=(V6*2+V7)/3</f>
        <v>0</v>
      </c>
      <c r="W10" s="21">
        <f>=(W6*2+W7)/3</f>
        <v>0</v>
      </c>
      <c r="X10" s="22">
        <f>=(X6*2+X7)/3</f>
        <v>0</v>
      </c>
      <c r="Y10" s="17" t="s"/>
      <c r="Z10" s="31" t="s"/>
      <c r="AA10" s="4" t="s"/>
      <c r="AB10" s="4" t="s"/>
      <c r="AC10" s="4" t="s"/>
      <c r="AD10" s="4" t="s"/>
      <c r="AE10" s="4" t="s"/>
      <c r="AF10" s="4" t="s"/>
      <c r="AG10" s="4" t="s"/>
      <c r="AH10" s="38" t="s">
        <v>22</v>
      </c>
      <c r="AI10" s="38">
        <v>0.05</v>
      </c>
      <c r="AJ10" s="4">
        <f>=MIN(AN$4,AJ9+IF(AH10="原始",$AJ$4/COUNTIF($AH$5:$AH$100,"原始")*$AM$4/100*$AK$4,AI10*$AJ$4*$AM$4/100*$AK$4))</f>
        <v>6.43091666666667</v>
      </c>
      <c r="AK10" s="42">
        <f>=AI10*AJ10</f>
        <v>0.321545833333333</v>
      </c>
      <c r="AL10" s="4" t="s"/>
      <c r="AM10" s="4" t="s"/>
    </row>
    <row r="11" spans="1:39" ht="20" customHeight="1">
      <c r="A11" s="21" t="s"/>
      <c r="B11" s="21" t="s"/>
      <c r="C11" s="21" t="s"/>
      <c r="D11" s="58" t="s">
        <v>54</v>
      </c>
      <c r="E11" s="21" t="s"/>
      <c r="F11" s="21" t="s"/>
      <c r="G11" s="21" t="s"/>
      <c r="H11" s="21" t="s"/>
      <c r="I11" s="21" t="s"/>
      <c r="J11" s="21" t="s"/>
      <c r="K11" s="21" t="s"/>
      <c r="L11" s="21" t="s"/>
      <c r="M11" s="21" t="s"/>
      <c r="N11" s="21" t="s"/>
      <c r="O11" s="21" t="s"/>
      <c r="P11" s="21" t="s"/>
      <c r="Q11" s="21" t="s"/>
      <c r="R11" s="22" t="s"/>
      <c r="S11" s="59" t="s">
        <v>55</v>
      </c>
      <c r="T11" s="60">
        <f>=(T7*2+T6)/3</f>
        <v>0</v>
      </c>
      <c r="U11" s="33">
        <f>=(U7*2+U6)/3</f>
        <v>0</v>
      </c>
      <c r="V11" s="33">
        <f>=(V7*2+V6)/3</f>
        <v>0</v>
      </c>
      <c r="W11" s="33">
        <f>=(W7*2+W6)/3</f>
        <v>0</v>
      </c>
      <c r="X11" s="61">
        <f>=(X7*2+X6)/3</f>
        <v>0</v>
      </c>
      <c r="Y11" s="17" t="s"/>
      <c r="Z11" s="4" t="s"/>
      <c r="AA11" s="4" t="s"/>
      <c r="AB11" s="4" t="s"/>
      <c r="AC11" s="4" t="s"/>
      <c r="AD11" s="4" t="s"/>
      <c r="AE11" s="4" t="s"/>
      <c r="AF11" s="4" t="s"/>
      <c r="AG11" s="4" t="s"/>
      <c r="AH11" s="38" t="s">
        <v>22</v>
      </c>
      <c r="AI11" s="38">
        <v>0.05</v>
      </c>
      <c r="AJ11" s="4">
        <f>=MIN(AN$4,AJ10+IF(AH11="原始",$AJ$4/COUNTIF($AH$5:$AH$100,"原始")*$AM$4/100*$AK$4,AI11*$AJ$4*$AM$4/100*$AK$4))</f>
        <v>6.6205</v>
      </c>
      <c r="AK11" s="42">
        <f>=AI11*AJ11</f>
        <v>0.331025</v>
      </c>
      <c r="AL11" s="4" t="s"/>
      <c r="AM11" s="4" t="s"/>
    </row>
    <row r="12" spans="1:39" ht="15" customHeight="1" thickBot="1">
      <c r="A12" s="21" t="s"/>
      <c r="B12" s="62" t="s"/>
      <c r="C12" s="62" t="s"/>
      <c r="D12" s="62" t="s"/>
      <c r="E12" s="62" t="s"/>
      <c r="F12" s="62" t="s"/>
      <c r="G12" s="62" t="s"/>
      <c r="H12" s="62" t="s"/>
      <c r="I12" s="62" t="s"/>
      <c r="J12" s="62" t="s"/>
      <c r="K12" s="62" t="s"/>
      <c r="L12" s="62" t="s"/>
      <c r="M12" s="62" t="s"/>
      <c r="N12" s="62" t="s"/>
      <c r="O12" s="21" t="s"/>
      <c r="P12" s="21" t="s"/>
      <c r="Q12" s="21" t="s"/>
      <c r="R12" s="21" t="s"/>
      <c r="S12" s="44" t="s"/>
      <c r="T12" s="44" t="s"/>
      <c r="U12" s="63" t="s"/>
      <c r="V12" s="64" t="s"/>
      <c r="W12" s="44" t="s"/>
      <c r="X12" s="44" t="s"/>
      <c r="Y12" s="4" t="s"/>
      <c r="Z12" s="4" t="s"/>
      <c r="AA12" s="4" t="s"/>
      <c r="AB12" s="4" t="s"/>
      <c r="AC12" s="4" t="s"/>
      <c r="AD12" s="4" t="s"/>
      <c r="AE12" s="4" t="s"/>
      <c r="AF12" s="4" t="s"/>
      <c r="AG12" s="4" t="s"/>
      <c r="AH12" s="38" t="s">
        <v>22</v>
      </c>
      <c r="AI12" s="38">
        <v>0.05</v>
      </c>
      <c r="AJ12" s="4">
        <f>=MIN(AN$4,AJ11+IF(AH12="原始",$AJ$4/COUNTIF($AH$5:$AH$100,"原始")*$AM$4/100*$AK$4,AI12*$AJ$4*$AM$4/100*$AK$4))</f>
        <v>6.81008333333333</v>
      </c>
      <c r="AK12" s="42">
        <f>=AI12*AJ12</f>
        <v>0.340504166666667</v>
      </c>
      <c r="AL12" s="4" t="s"/>
      <c r="AM12" s="4" t="s"/>
    </row>
    <row r="13" spans="1:39" ht="15" customHeight="1">
      <c r="A13" s="65" t="s"/>
      <c r="B13" s="66" t="s">
        <v>56</v>
      </c>
      <c r="C13" s="67" t="s"/>
      <c r="D13" s="67" t="s"/>
      <c r="E13" s="67" t="s"/>
      <c r="F13" s="67" t="s"/>
      <c r="G13" s="67" t="s"/>
      <c r="H13" s="67" t="s"/>
      <c r="I13" s="67" t="s"/>
      <c r="J13" s="67" t="s"/>
      <c r="K13" s="67" t="s"/>
      <c r="L13" s="67" t="s"/>
      <c r="M13" s="68" t="s"/>
      <c r="N13" s="69" t="s"/>
      <c r="O13" s="70" t="s"/>
      <c r="P13" s="71" t="s"/>
      <c r="Q13" s="72" t="s"/>
      <c r="R13" s="72" t="s"/>
      <c r="S13" s="72" t="s"/>
      <c r="T13" s="72" t="s"/>
      <c r="U13" s="73" t="s"/>
      <c r="V13" s="51" t="s"/>
      <c r="W13" s="21" t="s"/>
      <c r="X13" s="21" t="s"/>
      <c r="Y13" s="4" t="s"/>
      <c r="Z13" s="4" t="s"/>
      <c r="AA13" s="4" t="s"/>
      <c r="AB13" s="4" t="s"/>
      <c r="AC13" s="4" t="s"/>
      <c r="AD13" s="4" t="s"/>
      <c r="AE13" s="4" t="s"/>
      <c r="AF13" s="4" t="s"/>
      <c r="AG13" s="4" t="s"/>
      <c r="AH13" s="38" t="s">
        <v>22</v>
      </c>
      <c r="AI13" s="38">
        <v>0.55</v>
      </c>
      <c r="AJ13" s="4">
        <f>=MIN(AN$4,AJ12+IF(AH13="原始",$AJ$4/COUNTIF($AH$5:$AH$100,"原始")*$AM$4/100*$AK$4,AI13*$AJ$4*$AM$4/100*$AK$4))</f>
        <v>6.99966666666667</v>
      </c>
      <c r="AK13" s="42">
        <f>=AI13*AJ13</f>
        <v>3.84981666666667</v>
      </c>
      <c r="AL13" s="4" t="s"/>
      <c r="AM13" s="4" t="s"/>
    </row>
    <row r="14" spans="1:39" ht="19.75" customHeight="1" thickBot="1">
      <c r="A14" s="65" t="s"/>
      <c r="B14" s="74" t="s">
        <v>57</v>
      </c>
      <c r="C14" s="39" t="s">
        <v>58</v>
      </c>
      <c r="D14" s="39" t="s">
        <v>44</v>
      </c>
      <c r="E14" s="39" t="s">
        <v>29</v>
      </c>
      <c r="F14" s="39" t="s">
        <v>59</v>
      </c>
      <c r="G14" s="39" t="s">
        <v>60</v>
      </c>
      <c r="H14" s="39" t="s">
        <v>61</v>
      </c>
      <c r="I14" s="39" t="s">
        <v>25</v>
      </c>
      <c r="J14" s="39" t="s">
        <v>62</v>
      </c>
      <c r="K14" s="39" t="s">
        <v>63</v>
      </c>
      <c r="L14" s="39" t="s">
        <v>64</v>
      </c>
      <c r="M14" s="39" t="s">
        <v>65</v>
      </c>
      <c r="N14" s="75" t="s">
        <v>66</v>
      </c>
      <c r="O14" s="76" t="s"/>
      <c r="P14" s="77" t="s"/>
      <c r="Q14" s="77" t="s"/>
      <c r="R14" s="77" t="s"/>
      <c r="S14" s="77" t="s"/>
      <c r="T14" s="77" t="s"/>
      <c r="U14" s="77" t="s"/>
      <c r="V14" s="62" t="s"/>
      <c r="W14" s="62" t="s"/>
      <c r="X14" s="62" t="s"/>
      <c r="Y14" s="78" t="s"/>
      <c r="Z14" s="4" t="s"/>
      <c r="AA14" s="4" t="s"/>
      <c r="AB14" s="4" t="s"/>
      <c r="AC14" s="4" t="s"/>
      <c r="AD14" s="4" t="s"/>
      <c r="AE14" s="4" t="s"/>
      <c r="AF14" s="4" t="s"/>
      <c r="AG14" s="4" t="s"/>
      <c r="AH14" s="38" t="s">
        <v>67</v>
      </c>
      <c r="AI14" s="38">
        <v>0.5</v>
      </c>
      <c r="AJ14" s="4">
        <f>=MIN(AN$4,AJ13+IF(AH14="原始",$AJ$4/COUNTIF($AH$5:$AH$100,"原始")*$AM$4/100*$AK$4,AI14*$AJ$4*$AM$4/100*$AK$4))</f>
        <v>7.85279166666667</v>
      </c>
      <c r="AK14" s="42">
        <f>=AI14*AJ14</f>
        <v>3.92639583333333</v>
      </c>
      <c r="AL14" s="4" t="s"/>
      <c r="AM14" s="4" t="s"/>
    </row>
    <row r="15" spans="1:39" ht="15" customHeight="1">
      <c r="A15" s="65" t="s"/>
      <c r="B15" s="79" t="s"/>
      <c r="C15" s="80" t="s"/>
      <c r="D15" s="81" t="e">
        <f>=VLOOKUP(C15,技能lookup表!A4:C30,2,FALSE)</f>
        <v>#N/A</v>
      </c>
      <c r="E15" s="43" t="s"/>
      <c r="F15" s="43" t="s"/>
      <c r="G15" s="81" t="e">
        <f>=VLOOKUP(C15,技能lookup表!A4:C30,3,FALSE)</f>
        <v>#N/A</v>
      </c>
      <c r="H15" s="43" t="s"/>
      <c r="I15" s="43" t="s"/>
      <c r="J15" s="43" t="s"/>
      <c r="K15" s="81" t="e">
        <f>=D15*(E15*0.04)</f>
        <v>#N/A</v>
      </c>
      <c r="L15" s="81" t="e">
        <f>=D15*(1+I15*0.02-0.02)*(F15+H15-G15)*2/10000</f>
        <v>#N/A</v>
      </c>
      <c r="M15" s="43" t="s"/>
      <c r="N15" s="82">
        <f>=_xlfn.IFNA((D15*(1+I15*0.02-0.02)+K15+L15)*M15*J15,0)</f>
        <v>0</v>
      </c>
      <c r="O15" s="83" t="s"/>
      <c r="P15" s="84" t="s">
        <v>70</v>
      </c>
      <c r="Q15" s="85" t="s"/>
      <c r="R15" s="85" t="s"/>
      <c r="S15" s="85" t="s"/>
      <c r="T15" s="85" t="s"/>
      <c r="U15" s="85" t="s"/>
      <c r="V15" s="85" t="s"/>
      <c r="W15" s="85" t="s"/>
      <c r="X15" s="85" t="s"/>
      <c r="Y15" s="86" t="s"/>
      <c r="Z15" s="87" t="s"/>
      <c r="AA15" s="4" t="s"/>
      <c r="AB15" s="4" t="s"/>
      <c r="AC15" s="4" t="s"/>
      <c r="AD15" s="4" t="s"/>
      <c r="AE15" s="4" t="s"/>
      <c r="AF15" s="4" t="s"/>
      <c r="AG15" s="4" t="s"/>
      <c r="AH15" s="38" t="s">
        <v>67</v>
      </c>
      <c r="AI15" s="38">
        <v>0.5</v>
      </c>
      <c r="AJ15" s="4">
        <f>=MIN(AN$4,AJ14+IF(AH15="原始",$AJ$4/COUNTIF($AH$5:$AH$100,"原始")*$AM$4/100*$AK$4,AI15*$AJ$4*$AM$4/100*$AK$4))</f>
        <v>8</v>
      </c>
      <c r="AK15" s="42">
        <f>=AI15*AJ15</f>
        <v>4</v>
      </c>
      <c r="AL15" s="4" t="s"/>
      <c r="AM15" s="4" t="s"/>
    </row>
    <row r="16" spans="1:39" ht="15" customHeight="1">
      <c r="A16" s="65" t="s"/>
      <c r="B16" s="79" t="s"/>
      <c r="C16" s="80" t="s"/>
      <c r="D16" s="81" t="e">
        <f>=VLOOKUP(C16,技能lookup表!A4:C30,2,FALSE)</f>
        <v>#N/A</v>
      </c>
      <c r="E16" s="43" t="s"/>
      <c r="F16" s="43" t="s"/>
      <c r="G16" s="81" t="e">
        <f>=VLOOKUP(C16,技能lookup表!A4:C30,3,FALSE)</f>
        <v>#N/A</v>
      </c>
      <c r="H16" s="43" t="s"/>
      <c r="I16" s="43" t="s"/>
      <c r="J16" s="43" t="s"/>
      <c r="K16" s="81" t="e">
        <f>=D16*(E16*0.04)</f>
        <v>#N/A</v>
      </c>
      <c r="L16" s="81" t="e">
        <f>=D16*(1+I16*0.02-0.02)*(F16+H16-G16)*2/10000</f>
        <v>#N/A</v>
      </c>
      <c r="M16" s="43" t="s"/>
      <c r="N16" s="82">
        <f>=_xlfn.IFNA((D16*(1+I16*0.02-0.02)+K16+L16)*M16*J16,0)</f>
        <v>0</v>
      </c>
      <c r="O16" s="83" t="s"/>
      <c r="P16" s="88" t="s">
        <v>71</v>
      </c>
      <c r="Q16" s="89" t="s"/>
      <c r="R16" s="89" t="s"/>
      <c r="S16" s="89" t="s"/>
      <c r="T16" s="89" t="s"/>
      <c r="U16" s="89" t="s"/>
      <c r="V16" s="89" t="s"/>
      <c r="W16" s="89" t="s"/>
      <c r="X16" s="89" t="s"/>
      <c r="Y16" s="90" t="s"/>
      <c r="Z16" s="87" t="s"/>
      <c r="AA16" s="4" t="s"/>
      <c r="AB16" s="4" t="s"/>
      <c r="AC16" s="4" t="s"/>
      <c r="AD16" s="4" t="s"/>
      <c r="AE16" s="4" t="s"/>
      <c r="AF16" s="4" t="s"/>
      <c r="AG16" s="4" t="s"/>
      <c r="AH16" s="38" t="s">
        <v>67</v>
      </c>
      <c r="AI16" s="38">
        <v>0.5</v>
      </c>
      <c r="AJ16" s="4">
        <f>=MIN(AN$4,AJ15+IF(AH16="原始",$AJ$4/COUNTIF($AH$5:$AH$100,"原始")*$AM$4/100*$AK$4,AI16*$AJ$4*$AM$4/100*$AK$4))</f>
        <v>8</v>
      </c>
      <c r="AK16" s="42">
        <f>=AI16*AJ16</f>
        <v>4</v>
      </c>
      <c r="AL16" s="4" t="s"/>
      <c r="AM16" s="4" t="s"/>
    </row>
    <row r="17" spans="1:39" ht="15" customHeight="1">
      <c r="A17" s="65" t="s"/>
      <c r="B17" s="79" t="s"/>
      <c r="C17" s="80" t="s"/>
      <c r="D17" s="81" t="e">
        <f>=VLOOKUP(C17,技能lookup表!A4:C30,2,FALSE)</f>
        <v>#N/A</v>
      </c>
      <c r="E17" s="43" t="s"/>
      <c r="F17" s="43" t="s"/>
      <c r="G17" s="81" t="e">
        <f>=VLOOKUP(C17,技能lookup表!A4:C30,3,FALSE)</f>
        <v>#N/A</v>
      </c>
      <c r="H17" s="43" t="s"/>
      <c r="I17" s="43" t="s"/>
      <c r="J17" s="43" t="s"/>
      <c r="K17" s="81" t="e">
        <f>=D17*(E17*0.04)</f>
        <v>#N/A</v>
      </c>
      <c r="L17" s="81" t="e">
        <f>=D17*(1+I17*0.02-0.02)*(F17+H17-G17)*2/10000</f>
        <v>#N/A</v>
      </c>
      <c r="M17" s="43" t="s"/>
      <c r="N17" s="82">
        <f>=_xlfn.IFNA((D17*(1+I17*0.02-0.02)+K17+L17)*M17*J17,0)</f>
        <v>0</v>
      </c>
      <c r="O17" s="83" t="s"/>
      <c r="P17" s="88" t="s">
        <v>72</v>
      </c>
      <c r="Q17" s="89" t="s"/>
      <c r="R17" s="89" t="s"/>
      <c r="S17" s="89" t="s"/>
      <c r="T17" s="89" t="s"/>
      <c r="U17" s="89" t="s"/>
      <c r="V17" s="89" t="s"/>
      <c r="W17" s="89" t="s"/>
      <c r="X17" s="89" t="s"/>
      <c r="Y17" s="90" t="s"/>
      <c r="Z17" s="87" t="s"/>
      <c r="AA17" s="4" t="s"/>
      <c r="AB17" s="4" t="s"/>
      <c r="AC17" s="4" t="s"/>
      <c r="AD17" s="4" t="s"/>
      <c r="AE17" s="4" t="s"/>
      <c r="AF17" s="4" t="s"/>
      <c r="AG17" s="4" t="s"/>
      <c r="AH17" s="4" t="s"/>
      <c r="AI17" s="4" t="s"/>
      <c r="AJ17" s="4">
        <f>=MIN(AN$4,AJ16+IF(AH17="原始",$AJ$4/COUNTIF($AH$5:$AH$100,"原始")*$AM$4/100*$AK$4,AI17*$AJ$4*$AM$4/100*$AK$4))</f>
        <v>8</v>
      </c>
      <c r="AK17" s="42">
        <f>=AI17*AJ17</f>
        <v>0</v>
      </c>
      <c r="AL17" s="4" t="s"/>
      <c r="AM17" s="4" t="s"/>
    </row>
    <row r="18" spans="1:39" ht="15" customHeight="1">
      <c r="A18" s="65" t="s"/>
      <c r="B18" s="79" t="s"/>
      <c r="C18" s="80" t="s"/>
      <c r="D18" s="81" t="e">
        <f>=VLOOKUP(C18,技能lookup表!A4:C30,2,FALSE)</f>
        <v>#N/A</v>
      </c>
      <c r="E18" s="43" t="s"/>
      <c r="F18" s="43" t="s"/>
      <c r="G18" s="81" t="e">
        <f>=VLOOKUP(C18,技能lookup表!A4:C30,3,FALSE)</f>
        <v>#N/A</v>
      </c>
      <c r="H18" s="43" t="s"/>
      <c r="I18" s="43" t="s"/>
      <c r="J18" s="43" t="s"/>
      <c r="K18" s="81" t="e">
        <f>=D18*(E18*0.04)</f>
        <v>#N/A</v>
      </c>
      <c r="L18" s="81" t="e">
        <f>=D18*(1+I18*0.02-0.02)*(F18+H18-G18)*2/10000</f>
        <v>#N/A</v>
      </c>
      <c r="M18" s="43" t="s"/>
      <c r="N18" s="82">
        <f>=_xlfn.IFNA((D18*(1+I18*0.02-0.02)+K18+L18)*M18*J18,0)</f>
        <v>0</v>
      </c>
      <c r="O18" s="83" t="s"/>
      <c r="P18" s="88" t="s">
        <v>73</v>
      </c>
      <c r="Q18" s="89" t="s"/>
      <c r="R18" s="89" t="s"/>
      <c r="S18" s="89" t="s"/>
      <c r="T18" s="89" t="s"/>
      <c r="U18" s="89" t="s"/>
      <c r="V18" s="89" t="s"/>
      <c r="W18" s="89" t="s"/>
      <c r="X18" s="89" t="s"/>
      <c r="Y18" s="90" t="s"/>
      <c r="Z18" s="87" t="s"/>
      <c r="AA18" s="4" t="s"/>
      <c r="AB18" s="4" t="s"/>
      <c r="AC18" s="4" t="s"/>
      <c r="AD18" s="4" t="s"/>
      <c r="AE18" s="4" t="s"/>
      <c r="AF18" s="4" t="s"/>
      <c r="AG18" s="4" t="s"/>
      <c r="AH18" s="4" t="s"/>
      <c r="AI18" s="4" t="s"/>
      <c r="AJ18" s="4">
        <f>=MIN(AN$4,AJ17+IF(AH18="原始",$AJ$4/COUNTIF($AH$5:$AH$100,"原始")*$AM$4/100*$AK$4,AI18*$AJ$4*$AM$4/100*$AK$4))</f>
        <v>8</v>
      </c>
      <c r="AK18" s="42">
        <f>=AI18*AJ18</f>
        <v>0</v>
      </c>
      <c r="AL18" s="4" t="s"/>
      <c r="AM18" s="4" t="s"/>
    </row>
    <row r="19" spans="1:39" ht="15" customHeight="1" thickBot="1">
      <c r="A19" s="65" t="s"/>
      <c r="B19" s="79" t="s"/>
      <c r="C19" s="80" t="s"/>
      <c r="D19" s="81" t="e">
        <f>=VLOOKUP(C19,技能lookup表!A4:C30,2,FALSE)</f>
        <v>#N/A</v>
      </c>
      <c r="E19" s="43" t="s"/>
      <c r="F19" s="43" t="s"/>
      <c r="G19" s="81" t="e">
        <f>=VLOOKUP(C19,技能lookup表!A4:C30,3,FALSE)</f>
        <v>#N/A</v>
      </c>
      <c r="H19" s="43" t="s"/>
      <c r="I19" s="43" t="s"/>
      <c r="J19" s="43" t="s"/>
      <c r="K19" s="81" t="e">
        <f>=D19*(E19*0.04)</f>
        <v>#N/A</v>
      </c>
      <c r="L19" s="81" t="e">
        <f>=D19*(1+I19*0.02-0.02)*(F19+H19-G19)*2/10000</f>
        <v>#N/A</v>
      </c>
      <c r="M19" s="43" t="s"/>
      <c r="N19" s="82">
        <f>=_xlfn.IFNA((D19*(1+I19*0.02-0.02)+K19+L19)*M19*J19,0)</f>
        <v>0</v>
      </c>
      <c r="O19" s="83" t="s"/>
      <c r="P19" s="91" t="s">
        <v>74</v>
      </c>
      <c r="Q19" s="92" t="s"/>
      <c r="R19" s="92" t="s"/>
      <c r="S19" s="92" t="s"/>
      <c r="T19" s="92" t="s"/>
      <c r="U19" s="92" t="s"/>
      <c r="V19" s="92" t="s"/>
      <c r="W19" s="92" t="s"/>
      <c r="X19" s="92" t="s"/>
      <c r="Y19" s="93" t="s"/>
      <c r="Z19" s="87" t="s"/>
      <c r="AA19" s="4" t="s"/>
      <c r="AB19" s="4" t="s"/>
      <c r="AC19" s="4" t="s"/>
      <c r="AD19" s="4" t="s"/>
      <c r="AE19" s="4" t="s"/>
      <c r="AF19" s="4" t="s"/>
      <c r="AG19" s="4" t="s"/>
      <c r="AH19" s="4" t="s"/>
      <c r="AI19" s="4" t="s"/>
      <c r="AJ19" s="4">
        <f>=MIN(AN$4,AJ18+IF(AH19="原始",$AJ$4/COUNTIF($AH$5:$AH$100,"原始")*$AM$4/100*$AK$4,AI19*$AJ$4*$AM$4/100*$AK$4))</f>
        <v>8</v>
      </c>
      <c r="AK19" s="42">
        <f>=AI19*AJ19</f>
        <v>0</v>
      </c>
      <c r="AL19" s="4" t="s"/>
      <c r="AM19" s="4" t="s"/>
    </row>
    <row r="20" spans="1:39" ht="15" customHeight="1">
      <c r="A20" s="65" t="s"/>
      <c r="B20" s="79" t="s"/>
      <c r="C20" s="94" t="s"/>
      <c r="D20" s="81" t="e">
        <f>=VLOOKUP(C20,技能lookup表!A4:C30,2,FALSE)</f>
        <v>#N/A</v>
      </c>
      <c r="E20" s="43" t="s"/>
      <c r="F20" s="43" t="s"/>
      <c r="G20" s="81" t="e">
        <f>=VLOOKUP(C20,技能lookup表!A4:C30,3,FALSE)</f>
        <v>#N/A</v>
      </c>
      <c r="H20" s="43" t="s"/>
      <c r="I20" s="43" t="s"/>
      <c r="J20" s="43" t="s"/>
      <c r="K20" s="81" t="e">
        <f>=D20*(E20*0.04)</f>
        <v>#N/A</v>
      </c>
      <c r="L20" s="81" t="e">
        <f>=D20*(1+I20*0.02-0.02)*(F20+H20-G20)*2/10000</f>
        <v>#N/A</v>
      </c>
      <c r="M20" s="43" t="s"/>
      <c r="N20" s="82">
        <f>=_xlfn.IFNA((D20*(1+I20*0.02-0.02)+K20+L20)*M20*J20,0)</f>
        <v>0</v>
      </c>
      <c r="O20" s="76" t="s"/>
      <c r="P20" s="95" t="s"/>
      <c r="Q20" s="95" t="s"/>
      <c r="R20" s="95" t="s"/>
      <c r="S20" s="95" t="s"/>
      <c r="T20" s="95" t="s"/>
      <c r="U20" s="95" t="s"/>
      <c r="V20" s="95" t="s"/>
      <c r="W20" s="95" t="s"/>
      <c r="X20" s="95" t="s"/>
      <c r="Y20" s="96" t="s"/>
      <c r="Z20" s="4" t="s"/>
      <c r="AA20" s="4" t="s"/>
      <c r="AB20" s="4" t="s"/>
      <c r="AC20" s="4" t="s"/>
      <c r="AD20" s="4" t="s"/>
      <c r="AE20" s="4" t="s"/>
      <c r="AF20" s="4" t="s"/>
      <c r="AG20" s="4" t="s"/>
      <c r="AH20" s="4" t="s"/>
      <c r="AI20" s="4" t="s"/>
      <c r="AJ20" s="4">
        <f>=MIN(AN$4,AJ19+IF(AH20="原始",$AJ$4/COUNTIF($AH$5:$AH$100,"原始")*$AM$4/100*$AK$4,AI20*$AJ$4*$AM$4/100*$AK$4))</f>
        <v>8</v>
      </c>
      <c r="AK20" s="42">
        <f>=AI20*AJ20</f>
        <v>0</v>
      </c>
      <c r="AL20" s="4" t="s"/>
      <c r="AM20" s="4" t="s"/>
    </row>
    <row r="21" spans="1:39" ht="15" customHeight="1">
      <c r="A21" s="65" t="s"/>
      <c r="B21" s="79" t="s"/>
      <c r="C21" s="94" t="s"/>
      <c r="D21" s="81" t="e">
        <f>=VLOOKUP(C21,技能lookup表!A4:C30,2,FALSE)</f>
        <v>#N/A</v>
      </c>
      <c r="E21" s="43" t="s"/>
      <c r="F21" s="43" t="s"/>
      <c r="G21" s="81" t="e">
        <f>=VLOOKUP(C21,技能lookup表!A4:C30,3,FALSE)</f>
        <v>#N/A</v>
      </c>
      <c r="H21" s="43" t="s"/>
      <c r="I21" s="43" t="s"/>
      <c r="J21" s="43" t="s"/>
      <c r="K21" s="81" t="e">
        <f>=D21*(E21*0.04)</f>
        <v>#N/A</v>
      </c>
      <c r="L21" s="81" t="e">
        <f>=D21*(1+I21*0.02-0.02)*(F21+H21-G21)*2/10000</f>
        <v>#N/A</v>
      </c>
      <c r="M21" s="43" t="s"/>
      <c r="N21" s="82">
        <f>=_xlfn.IFNA((D21*(1+I21*0.02-0.02)+K21+L21)*M21*J21,0)</f>
        <v>0</v>
      </c>
      <c r="O21" s="76" t="s"/>
      <c r="P21" s="21" t="s"/>
      <c r="Q21" s="21" t="s"/>
      <c r="R21" s="21" t="s"/>
      <c r="S21" s="21" t="s"/>
      <c r="T21" s="21" t="s"/>
      <c r="U21" s="21" t="s"/>
      <c r="V21" s="21" t="s"/>
      <c r="W21" s="21" t="s"/>
      <c r="X21" s="21" t="s"/>
      <c r="Y21" s="4" t="s"/>
      <c r="Z21" s="4" t="s"/>
      <c r="AA21" s="4" t="s"/>
      <c r="AB21" s="4" t="s"/>
      <c r="AC21" s="4" t="s"/>
      <c r="AD21" s="4" t="s"/>
      <c r="AE21" s="4" t="s"/>
      <c r="AF21" s="4" t="s"/>
      <c r="AG21" s="4" t="s"/>
      <c r="AH21" s="4" t="s"/>
      <c r="AI21" s="4" t="s"/>
      <c r="AJ21" s="4">
        <f>=MIN(AN$4,AJ20+IF(AH21="原始",$AJ$4/COUNTIF($AH$5:$AH$100,"原始")*$AM$4/100*$AK$4,AI21*$AJ$4*$AM$4/100*$AK$4))</f>
        <v>8</v>
      </c>
      <c r="AK21" s="42">
        <f>=AI21*AJ21</f>
        <v>0</v>
      </c>
      <c r="AL21" s="4" t="s"/>
      <c r="AM21" s="4" t="s"/>
    </row>
    <row r="22" spans="1:39" ht="15" customHeight="1">
      <c r="A22" s="65" t="s"/>
      <c r="B22" s="79" t="s"/>
      <c r="C22" s="94" t="s"/>
      <c r="D22" s="81" t="e">
        <f>=VLOOKUP(C22,技能lookup表!A4:C30,2,FALSE)</f>
        <v>#N/A</v>
      </c>
      <c r="E22" s="43" t="s"/>
      <c r="F22" s="43" t="s"/>
      <c r="G22" s="81" t="e">
        <f>=VLOOKUP(C22,技能lookup表!A4:C30,3,FALSE)</f>
        <v>#N/A</v>
      </c>
      <c r="H22" s="43" t="s"/>
      <c r="I22" s="43" t="s"/>
      <c r="J22" s="43" t="s"/>
      <c r="K22" s="81" t="e">
        <f>=D22*(E22*0.04)</f>
        <v>#N/A</v>
      </c>
      <c r="L22" s="81" t="e">
        <f>=D22*(1+I22*0.02-0.02)*(F22+H22-G22)*2/10000</f>
        <v>#N/A</v>
      </c>
      <c r="M22" s="43" t="s"/>
      <c r="N22" s="82">
        <f>=_xlfn.IFNA((D22*(1+I22*0.02-0.02)+K22+L22)*M22*J22,0)</f>
        <v>0</v>
      </c>
      <c r="O22" s="76" t="s"/>
      <c r="P22" s="21" t="s"/>
      <c r="Q22" s="21" t="s"/>
      <c r="R22" s="21" t="s"/>
      <c r="S22" s="21" t="s"/>
      <c r="T22" s="21" t="s"/>
      <c r="U22" s="21" t="s"/>
      <c r="V22" s="21" t="s"/>
      <c r="W22" s="21" t="s"/>
      <c r="X22" s="21" t="s"/>
      <c r="Y22" s="4" t="s"/>
      <c r="Z22" s="4" t="s"/>
      <c r="AA22" s="4" t="s"/>
      <c r="AB22" s="4" t="s"/>
      <c r="AC22" s="4" t="s"/>
      <c r="AD22" s="4" t="s"/>
      <c r="AE22" s="4" t="s"/>
      <c r="AF22" s="4" t="s"/>
      <c r="AG22" s="4" t="s"/>
      <c r="AH22" s="4" t="s"/>
      <c r="AI22" s="4" t="s"/>
      <c r="AJ22" s="4">
        <f>=MIN(AN$4,AJ21+IF(AH22="原始",$AJ$4/COUNTIF($AH$5:$AH$100,"原始")*$AM$4/100*$AK$4,AI22*$AJ$4*$AM$4/100*$AK$4))</f>
        <v>8</v>
      </c>
      <c r="AK22" s="42">
        <f>=AI22*AJ22</f>
        <v>0</v>
      </c>
      <c r="AL22" s="4" t="s"/>
      <c r="AM22" s="4" t="s"/>
    </row>
    <row r="23" spans="1:39" ht="15" customHeight="1" thickBot="1">
      <c r="A23" s="65" t="s"/>
      <c r="B23" s="97" t="s"/>
      <c r="C23" s="94" t="s"/>
      <c r="D23" s="98" t="e">
        <f>=VLOOKUP(C23,技能lookup表!A4:C30,2,FALSE)</f>
        <v>#N/A</v>
      </c>
      <c r="E23" s="99" t="s"/>
      <c r="F23" s="99" t="s"/>
      <c r="G23" s="98" t="e">
        <f>=VLOOKUP(C23,技能lookup表!A4:C30,3,FALSE)</f>
        <v>#N/A</v>
      </c>
      <c r="H23" s="99" t="s"/>
      <c r="I23" s="99" t="s"/>
      <c r="J23" s="99" t="s"/>
      <c r="K23" s="98" t="e">
        <f>=D23*(E23*0.04)</f>
        <v>#N/A</v>
      </c>
      <c r="L23" s="98" t="e">
        <f>=D23*(1+I23*0.02-0.02)*(F23+H23-G23)*2/10000</f>
        <v>#N/A</v>
      </c>
      <c r="M23" s="99" t="s"/>
      <c r="N23" s="82">
        <f>=_xlfn.IFNA((D23*(1+I23*0.02-0.02)+K23+L23)*M23*J23,0)</f>
        <v>0</v>
      </c>
      <c r="O23" s="76" t="s"/>
      <c r="P23" s="21" t="s"/>
      <c r="Q23" s="21" t="s"/>
      <c r="R23" s="21" t="s"/>
      <c r="S23" s="21" t="s"/>
      <c r="T23" s="21" t="s"/>
      <c r="U23" s="21" t="s"/>
      <c r="V23" s="21" t="s"/>
      <c r="W23" s="21" t="s"/>
      <c r="X23" s="21" t="s"/>
      <c r="Y23" s="4" t="s"/>
      <c r="Z23" s="4" t="s"/>
      <c r="AA23" s="4" t="s"/>
      <c r="AB23" s="4" t="s"/>
      <c r="AC23" s="4" t="s"/>
      <c r="AD23" s="4" t="s"/>
      <c r="AE23" s="4" t="s"/>
      <c r="AF23" s="4" t="s"/>
      <c r="AG23" s="4" t="s"/>
      <c r="AH23" s="4" t="s"/>
      <c r="AI23" s="4" t="s"/>
      <c r="AJ23" s="4">
        <f>=MIN(AN$4,AJ22+IF(AH23="原始",$AJ$4/COUNTIF($AH$5:$AH$100,"原始")*$AM$4/100*$AK$4,AI23*$AJ$4*$AM$4/100*$AK$4))</f>
        <v>8</v>
      </c>
      <c r="AK23" s="42">
        <f>=AI23*AJ23</f>
        <v>0</v>
      </c>
      <c r="AL23" s="4" t="s"/>
      <c r="AM23" s="4" t="s"/>
    </row>
    <row r="24" spans="1:39" ht="30.25" customHeight="1" thickBot="1">
      <c r="A24" s="21" t="s"/>
      <c r="B24" s="100" t="s"/>
      <c r="C24" s="100" t="s"/>
      <c r="D24" s="100" t="s"/>
      <c r="E24" s="100" t="s"/>
      <c r="F24" s="100" t="s"/>
      <c r="G24" s="100" t="s"/>
      <c r="H24" s="100" t="s"/>
      <c r="I24" s="100" t="s"/>
      <c r="J24" s="100" t="s"/>
      <c r="K24" s="100" t="s"/>
      <c r="L24" s="100" t="s"/>
      <c r="M24" s="100" t="s"/>
      <c r="N24" s="100" t="s"/>
      <c r="O24" s="62" t="s"/>
      <c r="P24" s="62" t="s"/>
      <c r="Q24" s="21" t="s"/>
      <c r="R24" s="21" t="s"/>
      <c r="S24" s="21" t="s"/>
      <c r="T24" s="21" t="s"/>
      <c r="U24" s="21" t="s"/>
      <c r="V24" s="21" t="s"/>
      <c r="W24" s="21" t="s"/>
      <c r="X24" s="21" t="s"/>
      <c r="Y24" s="4" t="s"/>
      <c r="Z24" s="4" t="s"/>
      <c r="AA24" s="4" t="s"/>
      <c r="AB24" s="4" t="s"/>
      <c r="AC24" s="4" t="s"/>
      <c r="AD24" s="4" t="s"/>
      <c r="AE24" s="4" t="s"/>
      <c r="AF24" s="4" t="s"/>
      <c r="AG24" s="4" t="s"/>
      <c r="AH24" s="4" t="s"/>
      <c r="AI24" s="4" t="s"/>
      <c r="AJ24" s="4">
        <f>=MIN(AN$4,AJ23+IF(AH24="原始",$AJ$4/COUNTIF($AH$5:$AH$100,"原始")*$AM$4/100*$AK$4,AI24*$AJ$4*$AM$4/100*$AK$4))</f>
        <v>8</v>
      </c>
      <c r="AK24" s="42">
        <f>=AI24*AJ24</f>
        <v>0</v>
      </c>
      <c r="AL24" s="4" t="s"/>
      <c r="AM24" s="4" t="s"/>
    </row>
    <row r="25" spans="1:39" ht="15" customHeight="1">
      <c r="A25" s="65" t="s"/>
      <c r="B25" s="66" t="s">
        <v>75</v>
      </c>
      <c r="C25" s="67" t="s"/>
      <c r="D25" s="67" t="s"/>
      <c r="E25" s="67" t="s"/>
      <c r="F25" s="67" t="s"/>
      <c r="G25" s="67" t="s"/>
      <c r="H25" s="67" t="s"/>
      <c r="I25" s="67" t="s"/>
      <c r="J25" s="67" t="s"/>
      <c r="K25" s="67" t="s"/>
      <c r="L25" s="67" t="s"/>
      <c r="M25" s="68" t="s"/>
      <c r="N25" s="101" t="s"/>
      <c r="O25" s="101" t="s"/>
      <c r="P25" s="69" t="s"/>
      <c r="Q25" s="76" t="s"/>
      <c r="R25" s="21" t="s"/>
      <c r="S25" s="21" t="s"/>
      <c r="T25" s="21" t="s"/>
      <c r="U25" s="21" t="s"/>
      <c r="V25" s="21" t="s"/>
      <c r="W25" s="21" t="s"/>
      <c r="X25" s="21" t="s"/>
      <c r="Y25" s="4" t="s"/>
      <c r="Z25" s="4" t="s"/>
      <c r="AA25" s="4" t="s"/>
      <c r="AB25" s="4" t="s"/>
      <c r="AC25" s="4" t="s"/>
      <c r="AD25" s="4" t="s"/>
      <c r="AE25" s="4" t="s"/>
      <c r="AF25" s="4" t="s"/>
      <c r="AG25" s="4" t="s"/>
      <c r="AH25" s="4" t="s"/>
      <c r="AI25" s="4" t="s"/>
      <c r="AJ25" s="4">
        <f>=MIN(AN$4,AJ24+IF(AH25="原始",$AJ$4/COUNTIF($AH$5:$AH$100,"原始")*$AM$4/100*$AK$4,AI25*$AJ$4*$AM$4/100*$AK$4))</f>
        <v>8</v>
      </c>
      <c r="AK25" s="42">
        <f>=AI25*AJ25</f>
        <v>0</v>
      </c>
      <c r="AL25" s="4" t="s"/>
      <c r="AM25" s="4" t="s"/>
    </row>
    <row r="26" spans="1:39" ht="36.25" customHeight="1" thickBot="1">
      <c r="A26" s="65" t="s"/>
      <c r="B26" s="74" t="s">
        <v>57</v>
      </c>
      <c r="C26" s="39" t="s">
        <v>58</v>
      </c>
      <c r="D26" s="39" t="s">
        <v>44</v>
      </c>
      <c r="E26" s="39" t="s">
        <v>43</v>
      </c>
      <c r="F26" s="39" t="s">
        <v>29</v>
      </c>
      <c r="G26" s="39" t="s">
        <v>59</v>
      </c>
      <c r="H26" s="102" t="s">
        <v>76</v>
      </c>
      <c r="I26" s="39" t="s">
        <v>60</v>
      </c>
      <c r="J26" s="39" t="s">
        <v>77</v>
      </c>
      <c r="K26" s="39" t="s">
        <v>63</v>
      </c>
      <c r="L26" s="39" t="s">
        <v>64</v>
      </c>
      <c r="M26" s="39" t="s">
        <v>25</v>
      </c>
      <c r="N26" s="39" t="s">
        <v>62</v>
      </c>
      <c r="O26" s="39" t="s">
        <v>65</v>
      </c>
      <c r="P26" s="75" t="s">
        <v>66</v>
      </c>
      <c r="Q26" s="76" t="s"/>
      <c r="R26" s="62" t="s"/>
      <c r="S26" s="62" t="s"/>
      <c r="T26" s="62" t="s"/>
      <c r="U26" s="62" t="s"/>
      <c r="V26" s="62" t="s"/>
      <c r="W26" s="62" t="s"/>
      <c r="X26" s="62" t="s"/>
      <c r="Y26" s="78" t="s"/>
      <c r="Z26" s="78" t="s"/>
      <c r="AA26" s="78" t="s"/>
      <c r="AB26" s="78" t="s"/>
      <c r="AC26" s="4" t="s"/>
      <c r="AD26" s="4" t="s"/>
      <c r="AE26" s="4" t="s"/>
      <c r="AF26" s="4" t="s"/>
      <c r="AG26" s="4" t="s"/>
      <c r="AH26" s="4" t="s"/>
      <c r="AI26" s="4" t="s"/>
      <c r="AJ26" s="4">
        <f>=MIN(AN$4,AJ25+IF(AH26="原始",$AJ$4/COUNTIF($AH$5:$AH$100,"原始")*$AM$4/100*$AK$4,AI26*$AJ$4*$AM$4/100*$AK$4))</f>
        <v>8</v>
      </c>
      <c r="AK26" s="42">
        <f>=AI26*AJ26</f>
        <v>0</v>
      </c>
      <c r="AL26" s="4" t="s"/>
      <c r="AM26" s="4" t="s"/>
    </row>
    <row r="27" spans="1:39" ht="15" customHeight="1" thickBot="1">
      <c r="A27" s="65" t="s"/>
      <c r="B27" s="103" t="s"/>
      <c r="C27" s="80" t="s"/>
      <c r="D27" s="98" t="e">
        <f>=VLOOKUP(C27,技能lookup表!D4:G30,2,FALSE)</f>
        <v>#N/A</v>
      </c>
      <c r="E27" s="98" t="e">
        <f>=VLOOKUP(C27,技能lookup表!D4:G30,3,FALSE)</f>
        <v>#N/A</v>
      </c>
      <c r="F27" s="43" t="s"/>
      <c r="G27" s="43" t="s"/>
      <c r="H27" s="43" t="s"/>
      <c r="I27" s="98" t="e">
        <f>=VLOOKUP(C27,技能lookup表!D4:G30,4,FALSE)</f>
        <v>#N/A</v>
      </c>
      <c r="J27" s="81" t="e">
        <f>=IF(G27+H27-$M$6&lt;=0,E27*(0.95+M27*0.05),IF(G27+H27-$M$6&lt;=I27,(G27+H27-$M$6)/I27*(D27*(0.98+M27*0.02)-E27*(0.95+M27*0.05))+E27*(0.95+M27*0.05),D27*(0.98+M27*0.02)))</f>
        <v>#N/A</v>
      </c>
      <c r="K27" s="81" t="e">
        <f>=IF(G27+H27-$M$6&lt;=0,E27*F27*0.02,IF(G27+H27-$M$6-100&lt;=I27,(G27+H27-$M$6)/(I27+100)*(D27-E27)*F27*0.02+E27*F27*0.02,D27*0.02*F27))</f>
        <v>#N/A</v>
      </c>
      <c r="L27" s="81" t="e">
        <f>=IF(G27+H27-$M$6&lt;=I27,0,(G27+H27-$M$6-I27)*(0.98+0.02*M27)*D27*10/10000)</f>
        <v>#N/A</v>
      </c>
      <c r="M27" s="43" t="s"/>
      <c r="N27" s="43" t="s"/>
      <c r="O27" s="43" t="s"/>
      <c r="P27" s="82">
        <f>=_xlfn.IFNA((J27+K27+L27)*N27*O27,0)</f>
        <v>0</v>
      </c>
      <c r="Q27" s="83" t="s"/>
      <c r="R27" s="84" t="s">
        <v>78</v>
      </c>
      <c r="S27" s="85" t="s"/>
      <c r="T27" s="85" t="s"/>
      <c r="U27" s="85" t="s"/>
      <c r="V27" s="85" t="s"/>
      <c r="W27" s="85" t="s"/>
      <c r="X27" s="85" t="s"/>
      <c r="Y27" s="104" t="s"/>
      <c r="Z27" s="104" t="s"/>
      <c r="AA27" s="104" t="s"/>
      <c r="AB27" s="86" t="s"/>
      <c r="AC27" s="87" t="s"/>
      <c r="AD27" s="4" t="s"/>
      <c r="AE27" s="4" t="s"/>
      <c r="AF27" s="4" t="s"/>
      <c r="AG27" s="4" t="s"/>
      <c r="AH27" s="4" t="s"/>
      <c r="AI27" s="4" t="s"/>
      <c r="AJ27" s="4">
        <f>=MIN(AN$4,AJ26+IF(AH27="原始",$AJ$4/COUNTIF($AH$5:$AH$100,"原始")*$AM$4/100*$AK$4,AI27*$AJ$4*$AM$4/100*$AK$4))</f>
        <v>8</v>
      </c>
      <c r="AK27" s="42">
        <f>=AI27*AJ27</f>
        <v>0</v>
      </c>
      <c r="AL27" s="4" t="s"/>
      <c r="AM27" s="4" t="s"/>
    </row>
    <row r="28" spans="1:39" ht="15" customHeight="1" thickBot="1">
      <c r="A28" s="65" t="s"/>
      <c r="B28" s="103" t="s"/>
      <c r="C28" s="80" t="s"/>
      <c r="D28" s="98" t="e">
        <f>=VLOOKUP(C28,技能lookup表!D4:G30,2,FALSE)</f>
        <v>#N/A</v>
      </c>
      <c r="E28" s="98" t="e">
        <f>=VLOOKUP(C28,技能lookup表!D4:G30,3,FALSE)</f>
        <v>#N/A</v>
      </c>
      <c r="F28" s="43" t="s"/>
      <c r="G28" s="43" t="s"/>
      <c r="H28" s="43" t="s"/>
      <c r="I28" s="98" t="e">
        <f>=VLOOKUP(C28,技能lookup表!D4:G30,4,FALSE)</f>
        <v>#N/A</v>
      </c>
      <c r="J28" s="81" t="e">
        <f>=IF(G28+H28-$M$6&lt;=0,E28*(0.95+M28*0.05),IF(G28+H28-$M$6&lt;=I28,(G28+H28-$M$6)/I28*(D28*(0.98+M28*0.02)-E28*(0.95+M28*0.05))+E28*(0.95+M28*0.05),D28*(0.98+M28*0.02)))</f>
        <v>#N/A</v>
      </c>
      <c r="K28" s="81" t="e">
        <f>=IF(G28+H28-$M$6&lt;=0,E28*F28*0.02,IF(G28+H28-$M$6-100&lt;=I28,(G28+H28-$M$6)/(I28+100)*(D28-E28)*F28*0.02+E28*F28*0.02,D28*0.02*F28))</f>
        <v>#N/A</v>
      </c>
      <c r="L28" s="81" t="e">
        <f>=IF(G28+H28-$M$6&lt;=I28,0,(G28+H28-$M$6-I28)*(0.98+0.02*M28)*D28*10/10000)</f>
        <v>#N/A</v>
      </c>
      <c r="M28" s="43" t="s"/>
      <c r="N28" s="43" t="s"/>
      <c r="O28" s="43" t="s"/>
      <c r="P28" s="82">
        <f>=_xlfn.IFNA((J28+K28+L28)*N28*O28,0)</f>
        <v>0</v>
      </c>
      <c r="Q28" s="83" t="s"/>
      <c r="R28" s="88" t="s">
        <v>79</v>
      </c>
      <c r="S28" s="89" t="s"/>
      <c r="T28" s="89" t="s"/>
      <c r="U28" s="89" t="s"/>
      <c r="V28" s="89" t="s"/>
      <c r="W28" s="89" t="s"/>
      <c r="X28" s="89" t="s"/>
      <c r="Y28" s="105" t="s"/>
      <c r="Z28" s="105" t="s"/>
      <c r="AA28" s="105" t="s"/>
      <c r="AB28" s="90" t="s"/>
      <c r="AC28" s="87" t="s"/>
      <c r="AD28" s="4" t="s"/>
      <c r="AE28" s="4" t="s"/>
      <c r="AF28" s="4" t="s"/>
      <c r="AG28" s="4" t="s"/>
      <c r="AH28" s="4" t="s"/>
      <c r="AI28" s="4" t="s"/>
      <c r="AJ28" s="4">
        <f>=MIN(AN$4,AJ27+IF(AH28="原始",$AJ$4/COUNTIF($AH$5:$AH$100,"原始")*$AM$4/100*$AK$4,AI28*$AJ$4*$AM$4/100*$AK$4))</f>
        <v>8</v>
      </c>
      <c r="AK28" s="42">
        <f>=AI28*AJ28</f>
        <v>0</v>
      </c>
      <c r="AL28" s="4" t="s"/>
      <c r="AM28" s="4" t="s"/>
    </row>
    <row r="29" spans="1:39" ht="15" customHeight="1" thickBot="1">
      <c r="A29" s="65" t="s"/>
      <c r="B29" s="103" t="s"/>
      <c r="C29" s="80" t="s"/>
      <c r="D29" s="98" t="e">
        <f>=VLOOKUP(C29,技能lookup表!D4:G30,2,FALSE)</f>
        <v>#N/A</v>
      </c>
      <c r="E29" s="98" t="e">
        <f>=VLOOKUP(C29,技能lookup表!D4:G30,3,FALSE)</f>
        <v>#N/A</v>
      </c>
      <c r="F29" s="43" t="s"/>
      <c r="G29" s="43" t="s"/>
      <c r="H29" s="43" t="s"/>
      <c r="I29" s="98" t="e">
        <f>=VLOOKUP(C29,技能lookup表!D4:G30,4,FALSE)</f>
        <v>#N/A</v>
      </c>
      <c r="J29" s="81" t="e">
        <f>=IF(G29+H29-$M$6&lt;=0,E29*(0.95+M29*0.05),IF(G29+H29-$M$6&lt;=I29,(G29+H29-$M$6)/I29*(D29*(0.98+M29*0.02)-E29*(0.95+M29*0.05))+E29*(0.95+M29*0.05),D29*(0.98+M29*0.02)))</f>
        <v>#N/A</v>
      </c>
      <c r="K29" s="81" t="e">
        <f>=IF(G29+H29-$M$6&lt;=0,E29*F29*0.02,IF(G29+H29-$M$6-100&lt;=I29,(G29+H29-$M$6)/(I29+100)*(D29-E29)*F29*0.02+E29*F29*0.02,D29*0.02*F29))</f>
        <v>#N/A</v>
      </c>
      <c r="L29" s="81" t="e">
        <f>=IF(G29+H29-$M$6&lt;=I29,0,(G29+H29-$M$6-I29)*(0.98+0.02*M29)*D29*10/10000)</f>
        <v>#N/A</v>
      </c>
      <c r="M29" s="43" t="s"/>
      <c r="N29" s="43" t="s"/>
      <c r="O29" s="43" t="s"/>
      <c r="P29" s="82">
        <f>=_xlfn.IFNA((J29+K29+L29)*N29*O29,0)</f>
        <v>0</v>
      </c>
      <c r="Q29" s="83" t="s"/>
      <c r="R29" s="91" t="s">
        <v>80</v>
      </c>
      <c r="S29" s="92" t="s"/>
      <c r="T29" s="92" t="s"/>
      <c r="U29" s="92" t="s"/>
      <c r="V29" s="92" t="s"/>
      <c r="W29" s="92" t="s"/>
      <c r="X29" s="92" t="s"/>
      <c r="Y29" s="106" t="s"/>
      <c r="Z29" s="106" t="s"/>
      <c r="AA29" s="106" t="s"/>
      <c r="AB29" s="93" t="s"/>
      <c r="AC29" s="87" t="s"/>
      <c r="AD29" s="4" t="s"/>
      <c r="AE29" s="4" t="s"/>
      <c r="AF29" s="4" t="s"/>
      <c r="AG29" s="4" t="s"/>
      <c r="AH29" s="4" t="s"/>
      <c r="AI29" s="4" t="s"/>
      <c r="AJ29" s="4">
        <f>=MIN(AN$4,AJ28+IF(AH29="原始",$AJ$4/COUNTIF($AH$5:$AH$100,"原始")*$AM$4/100*$AK$4,AI29*$AJ$4*$AM$4/100*$AK$4))</f>
        <v>8</v>
      </c>
      <c r="AK29" s="42">
        <f>=AI29*AJ29</f>
        <v>0</v>
      </c>
      <c r="AL29" s="4" t="s"/>
      <c r="AM29" s="4" t="s"/>
    </row>
    <row r="30" spans="1:39" ht="15" customHeight="1" thickBot="1">
      <c r="A30" s="65" t="s"/>
      <c r="B30" s="103" t="s"/>
      <c r="C30" s="80" t="s"/>
      <c r="D30" s="98" t="e">
        <f>=VLOOKUP(C30,技能lookup表!D4:G30,2,FALSE)</f>
        <v>#N/A</v>
      </c>
      <c r="E30" s="98" t="e">
        <f>=VLOOKUP(C30,技能lookup表!D4:G30,3,FALSE)</f>
        <v>#N/A</v>
      </c>
      <c r="F30" s="43" t="s"/>
      <c r="G30" s="43" t="s"/>
      <c r="H30" s="43" t="s"/>
      <c r="I30" s="98" t="e">
        <f>=VLOOKUP(C30,技能lookup表!D4:G30,4,FALSE)</f>
        <v>#N/A</v>
      </c>
      <c r="J30" s="81" t="e">
        <f>=IF(G30+H30-$M$6&lt;=0,E30*(0.95+M30*0.05),IF(G30+H30-$M$6&lt;=I30,(G30+H30-$M$6)/I30*(D30*(0.98+M30*0.02)-E30*(0.95+M30*0.05))+E30*(0.95+M30*0.05),D30*(0.98+M30*0.02)))</f>
        <v>#N/A</v>
      </c>
      <c r="K30" s="81" t="e">
        <f>=IF(G30+H30-$M$6&lt;=0,E30*F30*0.02,IF(G30+H30-$M$6-100&lt;=I30,(G30+H30-$M$6)/(I30+100)*(D30-E30)*F30*0.02+E30*F30*0.02,D30*0.02*F30))</f>
        <v>#N/A</v>
      </c>
      <c r="L30" s="81" t="e">
        <f>=IF(G30+H30-$M$6&lt;=I30,0,(G30+H30-$M$6-I30)*(0.98+0.02*M30)*D30*10/10000)</f>
        <v>#N/A</v>
      </c>
      <c r="M30" s="43" t="s"/>
      <c r="N30" s="43" t="s"/>
      <c r="O30" s="43" t="s"/>
      <c r="P30" s="82">
        <f>=_xlfn.IFNA((J30+K30+L30)*N30*O30,0)</f>
        <v>0</v>
      </c>
      <c r="Q30" s="76" t="s"/>
      <c r="R30" s="95" t="s"/>
      <c r="S30" s="95" t="s"/>
      <c r="T30" s="95" t="s"/>
      <c r="U30" s="95" t="s"/>
      <c r="V30" s="95" t="s"/>
      <c r="W30" s="95" t="s"/>
      <c r="X30" s="95" t="s"/>
      <c r="Y30" s="96" t="s"/>
      <c r="Z30" s="96" t="s"/>
      <c r="AA30" s="96" t="s"/>
      <c r="AB30" s="96" t="s"/>
      <c r="AC30" s="4" t="s"/>
      <c r="AD30" s="4" t="s"/>
      <c r="AE30" s="4" t="s"/>
      <c r="AF30" s="4" t="s"/>
      <c r="AG30" s="4" t="s"/>
      <c r="AH30" s="4" t="s"/>
      <c r="AI30" s="4" t="s"/>
      <c r="AJ30" s="4">
        <f>=MIN(AN$4,AJ29+IF(AH30="原始",$AJ$4/COUNTIF($AH$5:$AH$100,"原始")*$AM$4/100*$AK$4,AI30*$AJ$4*$AM$4/100*$AK$4))</f>
        <v>8</v>
      </c>
      <c r="AK30" s="42">
        <f>=AI30*AJ30</f>
        <v>0</v>
      </c>
      <c r="AL30" s="4" t="s"/>
      <c r="AM30" s="4" t="s"/>
    </row>
    <row r="31" spans="1:39" ht="15" customHeight="1" thickBot="1">
      <c r="A31" s="65" t="s"/>
      <c r="B31" s="103" t="s"/>
      <c r="C31" s="80" t="s"/>
      <c r="D31" s="98" t="e">
        <f>=VLOOKUP(C31,技能lookup表!D4:G30,2,FALSE)</f>
        <v>#N/A</v>
      </c>
      <c r="E31" s="98" t="e">
        <f>=VLOOKUP(C31,技能lookup表!D4:G30,3,FALSE)</f>
        <v>#N/A</v>
      </c>
      <c r="F31" s="43" t="s"/>
      <c r="G31" s="43" t="s"/>
      <c r="H31" s="43" t="s"/>
      <c r="I31" s="98" t="e">
        <f>=VLOOKUP(C31,技能lookup表!D4:G30,4,FALSE)</f>
        <v>#N/A</v>
      </c>
      <c r="J31" s="81" t="e">
        <f>=IF(G31+H31-$M$6&lt;=0,E31*(0.95+M31*0.05),IF(G31+H31-$M$6&lt;=I31,(G31+H31-$M$6)/I31*(D31*(0.98+M31*0.02)-E31*(0.95+M31*0.05))+E31*(0.95+M31*0.05),D31*(0.98+M31*0.02)))</f>
        <v>#N/A</v>
      </c>
      <c r="K31" s="81" t="e">
        <f>=IF(G31+H31-$M$6&lt;=0,E31*F31*0.02,IF(G31+H31-$M$6-100&lt;=I31,(G31+H31-$M$6)/(I31+100)*(D31-E31)*F31*0.02+E31*F31*0.02,D31*0.02*F31))</f>
        <v>#N/A</v>
      </c>
      <c r="L31" s="81" t="e">
        <f>=IF(G31+H31-$M$6&lt;=I31,0,(G31+H31-$M$6-I31)*(0.98+0.02*M31)*D31*10/10000)</f>
        <v>#N/A</v>
      </c>
      <c r="M31" s="43" t="s"/>
      <c r="N31" s="43" t="s"/>
      <c r="O31" s="43" t="s"/>
      <c r="P31" s="82">
        <f>=_xlfn.IFNA((J31+K31+L31)*N31*O31,0)</f>
        <v>0</v>
      </c>
      <c r="Q31" s="76" t="s"/>
      <c r="R31" s="21" t="s"/>
      <c r="S31" s="21" t="s"/>
      <c r="T31" s="21" t="s"/>
      <c r="U31" s="21" t="s"/>
      <c r="V31" s="21" t="s"/>
      <c r="W31" s="21" t="s"/>
      <c r="X31" s="21" t="s"/>
      <c r="Y31" s="4" t="s"/>
      <c r="Z31" s="4" t="s"/>
      <c r="AA31" s="4" t="s"/>
      <c r="AB31" s="4" t="s"/>
      <c r="AC31" s="4" t="s"/>
      <c r="AD31" s="4" t="s"/>
      <c r="AE31" s="4" t="s"/>
      <c r="AF31" s="4" t="s"/>
      <c r="AG31" s="4" t="s"/>
      <c r="AH31" s="4" t="s"/>
      <c r="AI31" s="4" t="s"/>
      <c r="AJ31" s="4">
        <f>=MIN(AN$4,AJ30+IF(AH31="原始",$AJ$4/COUNTIF($AH$5:$AH$100,"原始")*$AM$4/100*$AK$4,AI31*$AJ$4*$AM$4/100*$AK$4))</f>
        <v>8</v>
      </c>
      <c r="AK31" s="42">
        <f>=AI31*AJ31</f>
        <v>0</v>
      </c>
      <c r="AL31" s="4" t="s"/>
      <c r="AM31" s="4" t="s"/>
    </row>
    <row r="32" spans="1:39" ht="15" customHeight="1" thickBot="1">
      <c r="A32" s="65" t="s"/>
      <c r="B32" s="103" t="s"/>
      <c r="C32" s="80" t="s"/>
      <c r="D32" s="98" t="e">
        <f>=VLOOKUP(C32,技能lookup表!D4:G30,2,FALSE)</f>
        <v>#N/A</v>
      </c>
      <c r="E32" s="98" t="e">
        <f>=VLOOKUP(C32,技能lookup表!D4:G30,3,FALSE)</f>
        <v>#N/A</v>
      </c>
      <c r="F32" s="43" t="s"/>
      <c r="G32" s="43" t="s"/>
      <c r="H32" s="43" t="s"/>
      <c r="I32" s="98" t="e">
        <f>=VLOOKUP(C32,技能lookup表!D4:G30,4,FALSE)</f>
        <v>#N/A</v>
      </c>
      <c r="J32" s="81" t="e">
        <f>=IF(G32+H32-$M$6&lt;=0,E32*(0.95+M32*0.05),IF(G32+H32-$M$6&lt;=I32,(G32+H32-$M$6)/I32*(D32*(0.98+M32*0.02)-E32*(0.95+M32*0.05))+E32*(0.95+M32*0.05),D32*(0.98+M32*0.02)))</f>
        <v>#N/A</v>
      </c>
      <c r="K32" s="81" t="e">
        <f>=IF(G32+H32-$M$6&lt;=0,E32*F32*0.02,IF(G32+H32-$M$6-100&lt;=I32,(G32+H32-$M$6)/(I32+100)*(D32-E32)*F32*0.02+E32*F32*0.02,D32*0.02*F32))</f>
        <v>#N/A</v>
      </c>
      <c r="L32" s="81" t="e">
        <f>=IF(G32+H32-$M$6&lt;=I32,0,(G32+H32-$M$6-I32)*(0.98+0.02*M32)*D32*10/10000)</f>
        <v>#N/A</v>
      </c>
      <c r="M32" s="43" t="s"/>
      <c r="N32" s="43" t="s"/>
      <c r="O32" s="43" t="s"/>
      <c r="P32" s="82">
        <f>=_xlfn.IFNA((J32+K32+L32)*N32*O32,0)</f>
        <v>0</v>
      </c>
      <c r="Q32" s="76" t="s"/>
      <c r="R32" s="21" t="s"/>
      <c r="S32" s="21" t="s"/>
      <c r="T32" s="21" t="s"/>
      <c r="U32" s="21" t="s"/>
      <c r="V32" s="21" t="s"/>
      <c r="W32" s="21" t="s"/>
      <c r="X32" s="21" t="s"/>
      <c r="Y32" s="4" t="s"/>
      <c r="Z32" s="4" t="s"/>
      <c r="AA32" s="4" t="s"/>
      <c r="AB32" s="4" t="s"/>
      <c r="AC32" s="4" t="s"/>
      <c r="AD32" s="4" t="s"/>
      <c r="AE32" s="4" t="s"/>
      <c r="AF32" s="4" t="s"/>
      <c r="AG32" s="4" t="s"/>
      <c r="AH32" s="4" t="s"/>
      <c r="AI32" s="4" t="s"/>
      <c r="AJ32" s="4">
        <f>=MIN(AN$4,AJ31+IF(AH32="原始",$AJ$4/COUNTIF($AH$5:$AH$100,"原始")*$AM$4/100*$AK$4,AI32*$AJ$4*$AM$4/100*$AK$4))</f>
        <v>8</v>
      </c>
      <c r="AK32" s="42">
        <f>=AI32*AJ32</f>
        <v>0</v>
      </c>
      <c r="AL32" s="4" t="s"/>
      <c r="AM32" s="4" t="s"/>
    </row>
    <row r="33" spans="1:39" ht="15" customHeight="1" thickBot="1">
      <c r="A33" s="65" t="s"/>
      <c r="B33" s="79" t="s"/>
      <c r="C33" s="80" t="s"/>
      <c r="D33" s="98" t="e">
        <f>=VLOOKUP(C33,技能lookup表!D4:G30,2,FALSE)</f>
        <v>#N/A</v>
      </c>
      <c r="E33" s="98" t="e">
        <f>=VLOOKUP(C33,技能lookup表!D4:G30,3,FALSE)</f>
        <v>#N/A</v>
      </c>
      <c r="F33" s="43" t="s"/>
      <c r="G33" s="43" t="s"/>
      <c r="H33" s="43" t="s"/>
      <c r="I33" s="98" t="e">
        <f>=VLOOKUP(C33,技能lookup表!D4:G30,4,FALSE)</f>
        <v>#N/A</v>
      </c>
      <c r="J33" s="81" t="e">
        <f>=IF(G33+H33-$M$6&lt;=0,E33*(0.95+M33*0.05),IF(G33+H33-$M$6&lt;=I33,(G33+H33-$M$6)/I33*(D33*(0.98+M33*0.02)-E33*(0.95+M33*0.05))+E33*(0.95+M33*0.05),D33*(0.98+M33*0.02)))</f>
        <v>#N/A</v>
      </c>
      <c r="K33" s="81" t="e">
        <f>=IF(G33+H33-$M$6&lt;=0,E33*F33*0.02,IF(G33+H33-$M$6-100&lt;=I33,(G33+H33-$M$6)/(I33+100)*(D33-E33)*F33*0.02+E33*F33*0.02,D33*0.02*F33))</f>
        <v>#N/A</v>
      </c>
      <c r="L33" s="81" t="e">
        <f>=IF(G33+H33-$M$6&lt;=I33,0,(G33+H33-$M$6-I33)*(0.98+0.02*M33)*D33*10/10000)</f>
        <v>#N/A</v>
      </c>
      <c r="M33" s="43" t="s"/>
      <c r="N33" s="43" t="s"/>
      <c r="O33" s="43" t="s"/>
      <c r="P33" s="82">
        <f>=_xlfn.IFNA((J33+K33+L33)*N33*O33,0)</f>
        <v>0</v>
      </c>
      <c r="Q33" s="76" t="s"/>
      <c r="R33" s="21" t="s"/>
      <c r="S33" s="21" t="s"/>
      <c r="T33" s="21" t="s"/>
      <c r="U33" s="21" t="s"/>
      <c r="V33" s="21" t="s"/>
      <c r="W33" s="21" t="s"/>
      <c r="X33" s="21" t="s"/>
      <c r="Y33" s="4" t="s"/>
      <c r="Z33" s="4" t="s"/>
      <c r="AA33" s="4" t="s"/>
      <c r="AB33" s="4" t="s"/>
      <c r="AC33" s="4" t="s"/>
      <c r="AD33" s="4" t="s"/>
      <c r="AE33" s="4" t="s"/>
      <c r="AF33" s="4" t="s"/>
      <c r="AG33" s="4" t="s"/>
      <c r="AH33" s="4" t="s"/>
      <c r="AI33" s="4" t="s"/>
      <c r="AJ33" s="4">
        <f>=MIN(AN$4,AJ32+IF(AH33="原始",$AJ$4/COUNTIF($AH$5:$AH$100,"原始")*$AM$4/100*$AK$4,AI33*$AJ$4*$AM$4/100*$AK$4))</f>
        <v>8</v>
      </c>
      <c r="AK33" s="42">
        <f>=AI33*AJ33</f>
        <v>0</v>
      </c>
      <c r="AL33" s="4" t="s"/>
      <c r="AM33" s="4" t="s"/>
    </row>
    <row r="34" spans="1:39" ht="15" customHeight="1" thickBot="1">
      <c r="A34" s="65" t="s"/>
      <c r="B34" s="97" t="s"/>
      <c r="C34" s="107" t="s"/>
      <c r="D34" s="98" t="e">
        <f>=VLOOKUP(C34,技能lookup表!D4:G30,2,FALSE)</f>
        <v>#N/A</v>
      </c>
      <c r="E34" s="98" t="e">
        <f>=VLOOKUP(C34,技能lookup表!D4:G30,3,FALSE)</f>
        <v>#N/A</v>
      </c>
      <c r="F34" s="99" t="s"/>
      <c r="G34" s="99" t="s"/>
      <c r="H34" s="99" t="s"/>
      <c r="I34" s="98" t="e">
        <f>=VLOOKUP(C34,技能lookup表!D4:G30,4,FALSE)</f>
        <v>#N/A</v>
      </c>
      <c r="J34" s="98" t="e">
        <f>=IF(G34+H34-$M$6&lt;=0,E34*(0.95+M34*0.05),IF(G34+H34-$M$6&lt;=I34,(G34+H34-$M$6)/I34*(D34*(0.98+M34*0.02)-E34*(0.95+M34*0.05))+E34*(0.95+M34*0.05),D34*(0.98+M34*0.02)))</f>
        <v>#N/A</v>
      </c>
      <c r="K34" s="98" t="e">
        <f>=IF(G34+H34-$M$6&lt;=0,E34*F34*0.02,IF(G34+H34-$M$6-100&lt;=I34,(G34+H34-$M$6)/(I34+100)*(D34-E34)*F34*0.02+E34*F34*0.02,D34*0.02*F34))</f>
        <v>#N/A</v>
      </c>
      <c r="L34" s="98" t="e">
        <f>=IF(G34+H34-$M$6&lt;=I34,0,(G34+H34-$M$6-I34)*(0.98+0.02*M34)*D34*10/10000)</f>
        <v>#N/A</v>
      </c>
      <c r="M34" s="99" t="s"/>
      <c r="N34" s="99" t="s"/>
      <c r="O34" s="99" t="s"/>
      <c r="P34" s="82">
        <f>=_xlfn.IFNA((J34+K34+L34)*N34*O34,0)</f>
        <v>0</v>
      </c>
      <c r="Q34" s="76" t="s"/>
      <c r="R34" s="21" t="s"/>
      <c r="S34" s="21" t="s"/>
      <c r="T34" s="21" t="s"/>
      <c r="U34" s="21" t="s"/>
      <c r="V34" s="21" t="s"/>
      <c r="W34" s="21" t="s"/>
      <c r="X34" s="21" t="s"/>
      <c r="Y34" s="4" t="s"/>
      <c r="Z34" s="4" t="s"/>
      <c r="AA34" s="4" t="s"/>
      <c r="AB34" s="4" t="s"/>
      <c r="AC34" s="4" t="s"/>
      <c r="AD34" s="4" t="s"/>
      <c r="AE34" s="4" t="s"/>
      <c r="AF34" s="4" t="s"/>
      <c r="AG34" s="4" t="s"/>
      <c r="AH34" s="4" t="s"/>
      <c r="AI34" s="4" t="s"/>
      <c r="AJ34" s="4">
        <f>=MIN(AN$4,AJ33+IF(AH34="原始",$AJ$4/COUNTIF($AH$5:$AH$100,"原始")*$AM$4/100*$AK$4,AI34*$AJ$4*$AM$4/100*$AK$4))</f>
        <v>8</v>
      </c>
      <c r="AK34" s="42">
        <f>=AI34*AJ34</f>
        <v>0</v>
      </c>
      <c r="AL34" s="4" t="s"/>
      <c r="AM34" s="4" t="s"/>
    </row>
    <row r="35" spans="1:39" ht="29.5" customHeight="1" thickBot="1">
      <c r="A35" s="21" t="s"/>
      <c r="B35" s="100" t="s"/>
      <c r="C35" s="100" t="s"/>
      <c r="D35" s="100" t="s"/>
      <c r="E35" s="100" t="s"/>
      <c r="F35" s="100" t="s"/>
      <c r="G35" s="100" t="s"/>
      <c r="H35" s="100" t="s"/>
      <c r="I35" s="100" t="s"/>
      <c r="J35" s="100" t="s"/>
      <c r="K35" s="100" t="s"/>
      <c r="L35" s="100" t="s"/>
      <c r="M35" s="100" t="s"/>
      <c r="N35" s="100" t="s"/>
      <c r="O35" s="100" t="s"/>
      <c r="P35" s="100" t="s"/>
      <c r="Q35" s="21" t="s"/>
      <c r="R35" s="21" t="s"/>
      <c r="S35" s="21" t="s"/>
      <c r="T35" s="21" t="s"/>
      <c r="U35" s="21" t="s"/>
      <c r="V35" s="21" t="s"/>
      <c r="W35" s="21" t="s"/>
      <c r="X35" s="21" t="s"/>
      <c r="Y35" s="4" t="s"/>
      <c r="Z35" s="4" t="s"/>
      <c r="AA35" s="4" t="s"/>
      <c r="AB35" s="4" t="s"/>
      <c r="AC35" s="4" t="s"/>
      <c r="AD35" s="4" t="s"/>
      <c r="AE35" s="4" t="s"/>
      <c r="AF35" s="4" t="s"/>
      <c r="AG35" s="4" t="s"/>
      <c r="AH35" s="4" t="s"/>
      <c r="AI35" s="4" t="s"/>
      <c r="AJ35" s="4">
        <f>=MIN(AN$4,AJ34+IF(AH35="原始",$AJ$4/COUNTIF($AH$5:$AH$100,"原始")*$AM$4/100*$AK$4,AI35*$AJ$4*$AM$4/100*$AK$4))</f>
        <v>8</v>
      </c>
      <c r="AK35" s="42">
        <f>=AI35*AJ35</f>
        <v>0</v>
      </c>
      <c r="AL35" s="4" t="s"/>
      <c r="AM35" s="4" t="s"/>
    </row>
    <row r="36" spans="1:39" ht="15" customHeight="1">
      <c r="A36" s="65" t="s"/>
      <c r="B36" s="66" t="s">
        <v>81</v>
      </c>
      <c r="C36" s="67" t="s"/>
      <c r="D36" s="67" t="s"/>
      <c r="E36" s="67" t="s"/>
      <c r="F36" s="67" t="s"/>
      <c r="G36" s="67" t="s"/>
      <c r="H36" s="67" t="s"/>
      <c r="I36" s="67" t="s"/>
      <c r="J36" s="67" t="s"/>
      <c r="K36" s="67" t="s"/>
      <c r="L36" s="67" t="s"/>
      <c r="M36" s="68" t="s"/>
      <c r="N36" s="101" t="s"/>
      <c r="O36" s="101" t="s"/>
      <c r="P36" s="69" t="s"/>
      <c r="Q36" s="76" t="s"/>
      <c r="R36" s="21" t="s"/>
      <c r="S36" s="21" t="s"/>
      <c r="T36" s="21" t="s"/>
      <c r="U36" s="21" t="s"/>
      <c r="V36" s="21" t="s"/>
      <c r="W36" s="21" t="s"/>
      <c r="X36" s="21" t="s"/>
      <c r="Y36" s="4" t="s"/>
      <c r="Z36" s="4" t="s"/>
      <c r="AA36" s="4" t="s"/>
      <c r="AB36" s="4" t="s"/>
      <c r="AC36" s="4" t="s"/>
      <c r="AD36" s="4" t="s"/>
      <c r="AE36" s="4" t="s"/>
      <c r="AF36" s="4" t="s"/>
      <c r="AG36" s="4" t="s"/>
      <c r="AH36" s="4" t="s"/>
      <c r="AI36" s="4" t="s"/>
      <c r="AJ36" s="4">
        <f>=MIN(AN$4,AJ35+IF(AH36="原始",$AJ$4/COUNTIF($AH$5:$AH$100,"原始")*$AM$4/100*$AK$4,AI36*$AJ$4*$AM$4/100*$AK$4))</f>
        <v>8</v>
      </c>
      <c r="AK36" s="42">
        <f>=AI36*AJ36</f>
        <v>0</v>
      </c>
      <c r="AL36" s="4" t="s"/>
      <c r="AM36" s="4" t="s"/>
    </row>
    <row r="37" spans="1:39" ht="35.75" customHeight="1">
      <c r="A37" s="65" t="s"/>
      <c r="B37" s="74" t="s">
        <v>57</v>
      </c>
      <c r="C37" s="39" t="s">
        <v>58</v>
      </c>
      <c r="D37" s="39" t="s">
        <v>44</v>
      </c>
      <c r="E37" s="39" t="s">
        <v>43</v>
      </c>
      <c r="F37" s="39" t="s">
        <v>29</v>
      </c>
      <c r="G37" s="39" t="s">
        <v>59</v>
      </c>
      <c r="H37" s="102" t="s">
        <v>76</v>
      </c>
      <c r="I37" s="39" t="s">
        <v>60</v>
      </c>
      <c r="J37" s="39" t="s">
        <v>77</v>
      </c>
      <c r="K37" s="39" t="s">
        <v>63</v>
      </c>
      <c r="L37" s="39" t="s">
        <v>64</v>
      </c>
      <c r="M37" s="39" t="s">
        <v>25</v>
      </c>
      <c r="N37" s="39" t="s">
        <v>62</v>
      </c>
      <c r="O37" s="39" t="s">
        <v>65</v>
      </c>
      <c r="P37" s="75" t="s">
        <v>66</v>
      </c>
      <c r="Q37" s="76" t="s"/>
      <c r="R37" s="21" t="s"/>
      <c r="S37" s="21" t="s"/>
      <c r="T37" s="21" t="s"/>
      <c r="U37" s="21" t="s"/>
      <c r="V37" s="21" t="s"/>
      <c r="W37" s="21" t="s"/>
      <c r="X37" s="21" t="s"/>
      <c r="Y37" s="4" t="s"/>
      <c r="Z37" s="4" t="s"/>
      <c r="AA37" s="4" t="s"/>
      <c r="AB37" s="4" t="s"/>
      <c r="AC37" s="4" t="s"/>
      <c r="AD37" s="4" t="s"/>
      <c r="AE37" s="4" t="s"/>
      <c r="AF37" s="4" t="s"/>
      <c r="AG37" s="4" t="s"/>
      <c r="AH37" s="4" t="s"/>
      <c r="AI37" s="4" t="s"/>
      <c r="AJ37" s="4">
        <f>=MIN(AN$4,AJ36+IF(AH37="原始",$AJ$4/COUNTIF($AH$5:$AH$100,"原始")*$AM$4/100*$AK$4,AI37*$AJ$4*$AM$4/100*$AK$4))</f>
        <v>8</v>
      </c>
      <c r="AK37" s="42">
        <f>=AI37*AJ37</f>
        <v>0</v>
      </c>
      <c r="AL37" s="4" t="s"/>
      <c r="AM37" s="4" t="s"/>
    </row>
    <row r="38" spans="1:39" ht="15" customHeight="1">
      <c r="A38" s="65" t="s"/>
      <c r="B38" s="103" t="s"/>
      <c r="C38" s="80" t="s"/>
      <c r="D38" s="81" t="e">
        <f>=VLOOKUP(C38,技能lookup表!H4:K30,2,FALSE)</f>
        <v>#N/A</v>
      </c>
      <c r="E38" s="81" t="e">
        <f>=VLOOKUP(C38,技能lookup表!H4:K30,3,FALSE)</f>
        <v>#N/A</v>
      </c>
      <c r="F38" s="43" t="s"/>
      <c r="G38" s="43" t="s"/>
      <c r="H38" s="43" t="s"/>
      <c r="I38" s="81" t="e">
        <f>=VLOOKUP(C38,技能lookup表!H4:K30,4,FALSE)</f>
        <v>#N/A</v>
      </c>
      <c r="J38" s="81" t="e">
        <f>=IF(G38+H38-$M$6&lt;=0,E38*(0.95+M38*0.05),IF(G38+H38-$M$6&lt;=I38,(G38+H38-$M$6)/I38*(D38*(0.98+M38*0.02)-E38*(0.95+M38*0.05))+E38*(0.95+M38*0.05),D38*(0.98+M38*0.02)))</f>
        <v>#N/A</v>
      </c>
      <c r="K38" s="81" t="e">
        <f>=IF(G38+H38-M$6&lt;=0,E38*F38*0.02,IF(G38+H38-M$6-100&lt;=I38,(G38+H38-$M$6)/(I38+100)*(D38-E38)*F38*0.02+E38*F38*0.02,D38*0.02*F38))</f>
        <v>#N/A</v>
      </c>
      <c r="L38" s="81" t="e">
        <f>=IF(G38+H38-M$6&lt;=I38,0,(G38+H38-M$6-I38)*(0.98+0.02*M38)*D38*10/10000)</f>
        <v>#N/A</v>
      </c>
      <c r="M38" s="43" t="s"/>
      <c r="N38" s="43" t="s"/>
      <c r="O38" s="43" t="s"/>
      <c r="P38" s="82">
        <f>=_xlfn.IFNA((J38+K38+L38)*N38*O38,0)</f>
        <v>0</v>
      </c>
      <c r="Q38" s="76" t="s"/>
      <c r="R38" s="21" t="s"/>
      <c r="S38" s="21" t="s"/>
      <c r="T38" s="21" t="s"/>
      <c r="U38" s="21" t="s"/>
      <c r="V38" s="21" t="s"/>
      <c r="W38" s="21" t="s"/>
      <c r="X38" s="21" t="s"/>
      <c r="Y38" s="4" t="s"/>
      <c r="Z38" s="4" t="s"/>
      <c r="AA38" s="4" t="s"/>
      <c r="AB38" s="4" t="s"/>
      <c r="AC38" s="4" t="s"/>
      <c r="AD38" s="4" t="s"/>
      <c r="AE38" s="4" t="s"/>
      <c r="AF38" s="4" t="s"/>
      <c r="AG38" s="4" t="s"/>
      <c r="AH38" s="4" t="s"/>
      <c r="AI38" s="4" t="s"/>
      <c r="AJ38" s="4">
        <f>=MIN(AN$4,AJ37+IF(AH38="原始",$AJ$4/COUNTIF($AH$5:$AH$100,"原始")*$AM$4/100*$AK$4,AI38*$AJ$4*$AM$4/100*$AK$4))</f>
        <v>8</v>
      </c>
      <c r="AK38" s="42">
        <f>=AI38*AJ38</f>
        <v>0</v>
      </c>
      <c r="AL38" s="4" t="s"/>
      <c r="AM38" s="4" t="s"/>
    </row>
    <row r="39" spans="1:39" ht="15" customHeight="1" thickBot="1">
      <c r="A39" s="65" t="s"/>
      <c r="B39" s="108" t="s"/>
      <c r="C39" s="107" t="s"/>
      <c r="D39" s="98" t="e">
        <f>=VLOOKUP(C39,技能lookup表!H4:K30,2,FALSE)</f>
        <v>#N/A</v>
      </c>
      <c r="E39" s="98" t="e">
        <f>=VLOOKUP(C39,技能lookup表!H4:K30,3,FALSE)</f>
        <v>#N/A</v>
      </c>
      <c r="F39" s="99" t="s"/>
      <c r="G39" s="99" t="s"/>
      <c r="H39" s="99" t="s"/>
      <c r="I39" s="98" t="e">
        <f>=VLOOKUP(C39,技能lookup表!H4:K30,4,FALSE)</f>
        <v>#N/A</v>
      </c>
      <c r="J39" s="98" t="e">
        <f>=IF(G39+H39-$M$6&lt;=0,E39*(0.95+M39*0.05),IF(G39+H39-$M$6&lt;=I39,(G39+H39-$M$6)/I39*(D39*(0.98+M39*0.02)-E39*(0.95+M39*0.05))+E39*(0.95+M39*0.05),D39*(0.98+M39*0.02)))</f>
        <v>#N/A</v>
      </c>
      <c r="K39" s="98" t="e">
        <f>=IF(G39+H39-M$6&lt;=0,E39*F39*0.02,IF(G39+H39-M$6-100&lt;=I39,(G39+H39-$M$6)/(I39+100)*(D39-E39)*F39*0.02+E39*F39*0.02,D39*0.02*F39))</f>
        <v>#N/A</v>
      </c>
      <c r="L39" s="98" t="e">
        <f>=IF(G39+H39-M$6&lt;=I39,0,(G39+H39-M$6-I39)*(0.98+0.02*M39)*D39*10/10000)</f>
        <v>#N/A</v>
      </c>
      <c r="M39" s="99" t="s"/>
      <c r="N39" s="99" t="s"/>
      <c r="O39" s="99" t="s"/>
      <c r="P39" s="82">
        <f>=_xlfn.IFNA((J39+K39+L39)*N39*O39,0)</f>
        <v>0</v>
      </c>
      <c r="Q39" s="76" t="s"/>
      <c r="R39" s="21" t="s"/>
      <c r="S39" s="21" t="s"/>
      <c r="T39" s="21" t="s"/>
      <c r="U39" s="21" t="s"/>
      <c r="V39" s="21" t="s"/>
      <c r="W39" s="21" t="s"/>
      <c r="X39" s="21" t="s"/>
      <c r="Y39" s="4" t="s"/>
      <c r="Z39" s="4" t="s"/>
      <c r="AA39" s="4" t="s"/>
      <c r="AB39" s="4" t="s"/>
      <c r="AC39" s="4" t="s"/>
      <c r="AD39" s="4" t="s"/>
      <c r="AE39" s="4" t="s"/>
      <c r="AF39" s="4" t="s"/>
      <c r="AG39" s="4" t="s"/>
      <c r="AH39" s="4" t="s"/>
      <c r="AI39" s="4" t="s"/>
      <c r="AJ39" s="4">
        <f>=MIN(AN$4,AJ38+IF(AH39="原始",$AJ$4/COUNTIF($AH$5:$AH$100,"原始")*$AM$4/100*$AK$4,AI39*$AJ$4*$AM$4/100*$AK$4))</f>
        <v>8</v>
      </c>
      <c r="AK39" s="42">
        <f>=AI39*AJ39</f>
        <v>0</v>
      </c>
      <c r="AL39" s="4" t="s"/>
      <c r="AM39" s="4" t="s"/>
    </row>
    <row r="40" spans="1:39" ht="15" customHeight="1" thickBot="1">
      <c r="A40" s="21" t="s"/>
      <c r="B40" s="95" t="s"/>
      <c r="C40" s="100" t="s"/>
      <c r="D40" s="100" t="s"/>
      <c r="E40" s="100" t="s"/>
      <c r="F40" s="100" t="s"/>
      <c r="G40" s="100" t="s"/>
      <c r="H40" s="100" t="s"/>
      <c r="I40" s="100" t="s"/>
      <c r="J40" s="100" t="s"/>
      <c r="K40" s="100" t="s"/>
      <c r="L40" s="109" t="s"/>
      <c r="M40" s="95" t="s"/>
      <c r="N40" s="95" t="s"/>
      <c r="O40" s="95" t="s"/>
      <c r="P40" s="95" t="s"/>
      <c r="Q40" s="21" t="s"/>
      <c r="R40" s="21" t="s"/>
      <c r="S40" s="21" t="s"/>
      <c r="T40" s="21" t="s"/>
      <c r="U40" s="21" t="s"/>
      <c r="V40" s="21" t="s"/>
      <c r="W40" s="21" t="s"/>
      <c r="X40" s="21" t="s"/>
      <c r="Y40" s="4" t="s"/>
      <c r="Z40" s="4" t="s"/>
      <c r="AA40" s="4" t="s"/>
      <c r="AB40" s="4" t="s"/>
      <c r="AC40" s="4" t="s"/>
      <c r="AD40" s="4" t="s"/>
      <c r="AE40" s="4" t="s"/>
      <c r="AF40" s="4" t="s"/>
      <c r="AG40" s="4" t="s"/>
      <c r="AH40" s="4" t="s"/>
      <c r="AI40" s="4" t="s"/>
      <c r="AJ40" s="4">
        <f>=MIN(AN$4,AJ39+IF(AH40="原始",$AJ$4/COUNTIF($AH$5:$AH$100,"原始")*$AM$4/100*$AK$4,AI40*$AJ$4*$AM$4/100*$AK$4))</f>
        <v>8</v>
      </c>
      <c r="AK40" s="42">
        <f>=AI40*AJ40</f>
        <v>0</v>
      </c>
      <c r="AL40" s="4" t="s"/>
      <c r="AM40" s="4" t="s"/>
    </row>
    <row r="41" spans="1:39" ht="20.25" customHeight="1">
      <c r="A41" s="21" t="s"/>
      <c r="B41" s="65" t="s"/>
      <c r="C41" s="110" t="s">
        <v>82</v>
      </c>
      <c r="D41" s="111" t="s">
        <v>83</v>
      </c>
      <c r="E41" s="110" t="s">
        <v>84</v>
      </c>
      <c r="F41" s="111" t="s">
        <v>83</v>
      </c>
      <c r="G41" s="112" t="s">
        <v>85</v>
      </c>
      <c r="H41" s="113" t="s">
        <v>83</v>
      </c>
      <c r="I41" s="110" t="s">
        <v>86</v>
      </c>
      <c r="J41" s="114" t="s">
        <v>87</v>
      </c>
      <c r="K41" s="115" t="s">
        <v>88</v>
      </c>
      <c r="L41" s="116" t="s"/>
      <c r="M41" s="117" t="s"/>
      <c r="N41" s="21" t="s"/>
      <c r="O41" s="21" t="s"/>
      <c r="P41" s="21" t="s"/>
      <c r="Q41" s="21" t="s"/>
      <c r="R41" s="21" t="s"/>
      <c r="S41" s="21" t="s"/>
      <c r="T41" s="21" t="s"/>
      <c r="U41" s="21" t="s"/>
      <c r="V41" s="21" t="s"/>
      <c r="W41" s="21" t="s"/>
      <c r="X41" s="21" t="s"/>
      <c r="Y41" s="4" t="s"/>
      <c r="Z41" s="4" t="s"/>
      <c r="AA41" s="4" t="s"/>
      <c r="AB41" s="4" t="s"/>
      <c r="AC41" s="4" t="s"/>
      <c r="AD41" s="4" t="s"/>
      <c r="AE41" s="4" t="s"/>
      <c r="AF41" s="4" t="s"/>
      <c r="AG41" s="4" t="s"/>
      <c r="AH41" s="4" t="s"/>
      <c r="AI41" s="4" t="s"/>
      <c r="AJ41" s="4">
        <f>=MIN(AN$4,AJ40+IF(AH41="原始",$AJ$4/COUNTIF($AH$5:$AH$100,"原始")*$AM$4/100*$AK$4,AI41*$AJ$4*$AM$4/100*$AK$4))</f>
        <v>8</v>
      </c>
      <c r="AK41" s="42">
        <f>=AI41*AJ41</f>
        <v>0</v>
      </c>
      <c r="AL41" s="4" t="s"/>
      <c r="AM41" s="4" t="s"/>
    </row>
    <row r="42" spans="1:39" ht="15" customHeight="1">
      <c r="A42" s="21" t="s"/>
      <c r="B42" s="65" t="s"/>
      <c r="C42" s="118" t="s"/>
      <c r="D42" s="119" t="s"/>
      <c r="E42" s="120" t="s"/>
      <c r="F42" s="119" t="s"/>
      <c r="G42" s="121" t="s">
        <v>89</v>
      </c>
      <c r="H42" s="119">
        <v>1</v>
      </c>
      <c r="I42" s="122" t="s">
        <v>90</v>
      </c>
      <c r="J42" s="43">
        <v>0</v>
      </c>
      <c r="K42" s="123">
        <v>10</v>
      </c>
      <c r="L42" s="79" t="s"/>
      <c r="M42" s="117" t="s"/>
      <c r="N42" s="21" t="s"/>
      <c r="O42" s="21" t="s"/>
      <c r="P42" s="21" t="s"/>
      <c r="Q42" s="21" t="s"/>
      <c r="R42" s="21" t="s"/>
      <c r="S42" s="21" t="s"/>
      <c r="T42" s="21" t="s"/>
      <c r="U42" s="21" t="s"/>
      <c r="V42" s="21" t="s"/>
      <c r="W42" s="21" t="s"/>
      <c r="X42" s="21" t="s"/>
      <c r="Y42" s="4" t="s"/>
      <c r="Z42" s="4" t="s"/>
      <c r="AA42" s="4" t="s"/>
      <c r="AB42" s="4" t="s"/>
      <c r="AC42" s="4" t="s"/>
      <c r="AD42" s="4" t="s"/>
      <c r="AE42" s="4" t="s"/>
      <c r="AF42" s="4" t="s"/>
      <c r="AG42" s="4" t="s"/>
      <c r="AH42" s="4" t="s"/>
      <c r="AI42" s="4" t="s"/>
      <c r="AJ42" s="4">
        <f>=MIN(AN$4,AJ41+IF(AH42="原始",$AJ$4/COUNTIF($AH$5:$AH$100,"原始")*$AM$4/100*$AK$4,AI42*$AJ$4*$AM$4/100*$AK$4))</f>
        <v>8</v>
      </c>
      <c r="AK42" s="42">
        <f>=AI42*AJ42</f>
        <v>0</v>
      </c>
      <c r="AL42" s="4" t="s"/>
      <c r="AM42" s="4" t="s"/>
    </row>
    <row r="43" spans="1:39" ht="15" customHeight="1">
      <c r="A43" s="21" t="s"/>
      <c r="B43" s="65" t="s"/>
      <c r="C43" s="118" t="s"/>
      <c r="D43" s="119" t="s"/>
      <c r="E43" s="120" t="s"/>
      <c r="F43" s="119" t="s"/>
      <c r="G43" s="121" t="s">
        <v>91</v>
      </c>
      <c r="H43" s="119">
        <v>0.5</v>
      </c>
      <c r="I43" s="122" t="s">
        <v>92</v>
      </c>
      <c r="J43" s="43">
        <v>0</v>
      </c>
      <c r="K43" s="82">
        <f>=15-Q6*10/9+10/9</f>
        <v>12.7777777777778</v>
      </c>
      <c r="L43" s="79" t="s"/>
      <c r="M43" s="117" t="s"/>
      <c r="N43" s="21" t="s"/>
      <c r="O43" s="21" t="s"/>
      <c r="P43" s="21" t="s"/>
      <c r="Q43" s="21" t="s"/>
      <c r="R43" s="21" t="s"/>
      <c r="S43" s="21" t="s"/>
      <c r="T43" s="21" t="s"/>
      <c r="U43" s="21" t="s"/>
      <c r="V43" s="21" t="s"/>
      <c r="W43" s="21" t="s"/>
      <c r="X43" s="21" t="s"/>
      <c r="Y43" s="4" t="s"/>
      <c r="Z43" s="4" t="s"/>
      <c r="AA43" s="4" t="s"/>
      <c r="AB43" s="4" t="s"/>
      <c r="AC43" s="4" t="s"/>
      <c r="AD43" s="4" t="s"/>
      <c r="AE43" s="4" t="s"/>
      <c r="AF43" s="4" t="s"/>
      <c r="AG43" s="4" t="s"/>
      <c r="AH43" s="4" t="s"/>
      <c r="AI43" s="4" t="s"/>
      <c r="AJ43" s="4">
        <f>=MIN(AN$4,AJ42+IF(AH43="原始",$AJ$4/COUNTIF($AH$5:$AH$100,"原始")*$AM$4/100*$AK$4,AI43*$AJ$4*$AM$4/100*$AK$4))</f>
        <v>8</v>
      </c>
      <c r="AK43" s="42">
        <f>=AI43*AJ43</f>
        <v>0</v>
      </c>
      <c r="AL43" s="4" t="s"/>
      <c r="AM43" s="4" t="s"/>
    </row>
    <row r="44" spans="1:39" ht="15" customHeight="1" thickBot="1">
      <c r="A44" s="21" t="s"/>
      <c r="B44" s="65" t="s"/>
      <c r="C44" s="118" t="s"/>
      <c r="D44" s="119" t="s"/>
      <c r="E44" s="120" t="s"/>
      <c r="F44" s="119" t="s"/>
      <c r="G44" s="118" t="s"/>
      <c r="H44" s="119" t="s"/>
      <c r="I44" s="124" t="s">
        <v>93</v>
      </c>
      <c r="J44" s="99">
        <v>1</v>
      </c>
      <c r="K44" s="125">
        <v>10</v>
      </c>
      <c r="L44" s="76" t="s"/>
      <c r="M44" s="21" t="s"/>
      <c r="N44" s="21" t="s"/>
      <c r="O44" s="21" t="s"/>
      <c r="P44" s="21" t="s"/>
      <c r="Q44" s="21" t="s"/>
      <c r="R44" s="21" t="s"/>
      <c r="S44" s="21" t="s"/>
      <c r="T44" s="21" t="s"/>
      <c r="U44" s="21" t="s"/>
      <c r="V44" s="21" t="s"/>
      <c r="W44" s="21" t="s"/>
      <c r="X44" s="21" t="s"/>
      <c r="Y44" s="4" t="s"/>
      <c r="Z44" s="4" t="s"/>
      <c r="AA44" s="4" t="s"/>
      <c r="AB44" s="4" t="s"/>
      <c r="AC44" s="4" t="s"/>
      <c r="AD44" s="4" t="s"/>
      <c r="AE44" s="4" t="s"/>
      <c r="AF44" s="4" t="s"/>
      <c r="AG44" s="4" t="s"/>
      <c r="AH44" s="4" t="s"/>
      <c r="AI44" s="4" t="s"/>
      <c r="AJ44" s="4">
        <f>=MIN(AN$4,AJ43+IF(AH44="原始",$AJ$4/COUNTIF($AH$5:$AH$100,"原始")*$AM$4/100*$AK$4,AI44*$AJ$4*$AM$4/100*$AK$4))</f>
        <v>8</v>
      </c>
      <c r="AK44" s="42">
        <f>=AI44*AJ44</f>
        <v>0</v>
      </c>
      <c r="AL44" s="4" t="s"/>
      <c r="AM44" s="4" t="s"/>
    </row>
    <row r="45" spans="1:39" ht="15" customHeight="1">
      <c r="A45" s="21" t="s"/>
      <c r="B45" s="65" t="s"/>
      <c r="C45" s="118" t="s"/>
      <c r="D45" s="119" t="s"/>
      <c r="E45" s="120" t="s"/>
      <c r="F45" s="119" t="s"/>
      <c r="G45" s="118" t="s"/>
      <c r="H45" s="119" t="s"/>
      <c r="I45" s="126" t="s"/>
      <c r="J45" s="95" t="s"/>
      <c r="K45" s="95" t="s"/>
      <c r="L45" s="21" t="s"/>
      <c r="M45" s="21" t="s"/>
      <c r="N45" s="21" t="s"/>
      <c r="O45" s="21" t="s"/>
      <c r="P45" s="21" t="s"/>
      <c r="Q45" s="21" t="s"/>
      <c r="R45" s="21" t="s"/>
      <c r="S45" s="21" t="s"/>
      <c r="T45" s="21" t="s"/>
      <c r="U45" s="21" t="s"/>
      <c r="V45" s="21" t="s"/>
      <c r="W45" s="21" t="s"/>
      <c r="X45" s="21" t="s"/>
      <c r="Y45" s="4" t="s"/>
      <c r="Z45" s="4" t="s"/>
      <c r="AA45" s="4" t="s"/>
      <c r="AB45" s="4" t="s"/>
      <c r="AC45" s="4" t="s"/>
      <c r="AD45" s="4" t="s"/>
      <c r="AE45" s="4" t="s"/>
      <c r="AF45" s="4" t="s"/>
      <c r="AG45" s="4" t="s"/>
      <c r="AH45" s="4" t="s"/>
      <c r="AI45" s="4" t="s"/>
      <c r="AJ45" s="4">
        <f>=MIN(AN$4,AJ44+IF(AH45="原始",$AJ$4/COUNTIF($AH$5:$AH$100,"原始")*$AM$4/100*$AK$4,AI45*$AJ$4*$AM$4/100*$AK$4))</f>
        <v>8</v>
      </c>
      <c r="AK45" s="42">
        <f>=AI45*AJ45</f>
        <v>0</v>
      </c>
      <c r="AL45" s="4" t="s"/>
      <c r="AM45" s="4" t="s"/>
    </row>
    <row r="46" spans="1:39" ht="15" customHeight="1">
      <c r="A46" s="21" t="s"/>
      <c r="B46" s="65" t="s"/>
      <c r="C46" s="118" t="s"/>
      <c r="D46" s="119" t="s"/>
      <c r="E46" s="120" t="s"/>
      <c r="F46" s="119" t="s"/>
      <c r="G46" s="118" t="s"/>
      <c r="H46" s="119" t="s"/>
      <c r="I46" s="76" t="s"/>
      <c r="J46" s="21" t="s"/>
      <c r="K46" s="21" t="s"/>
      <c r="L46" s="21" t="s"/>
      <c r="M46" s="21" t="s"/>
      <c r="N46" s="21" t="s"/>
      <c r="O46" s="21" t="s"/>
      <c r="P46" s="21" t="s"/>
      <c r="Q46" s="21" t="s"/>
      <c r="R46" s="21" t="s"/>
      <c r="S46" s="21" t="s"/>
      <c r="T46" s="21" t="s"/>
      <c r="U46" s="21" t="s"/>
      <c r="V46" s="21" t="s"/>
      <c r="W46" s="21" t="s"/>
      <c r="X46" s="21" t="s"/>
      <c r="Y46" s="4" t="s"/>
      <c r="Z46" s="4" t="s"/>
      <c r="AA46" s="4" t="s"/>
      <c r="AB46" s="4" t="s"/>
      <c r="AC46" s="4" t="s"/>
      <c r="AD46" s="4" t="s"/>
      <c r="AE46" s="4" t="s"/>
      <c r="AF46" s="4" t="s"/>
      <c r="AG46" s="4" t="s"/>
      <c r="AH46" s="4" t="s"/>
      <c r="AI46" s="4" t="s"/>
      <c r="AJ46" s="4">
        <f>=MIN(AN$4,AJ45+IF(AH46="原始",$AJ$4/COUNTIF($AH$5:$AH$100,"原始")*$AM$4/100*$AK$4,AI46*$AJ$4*$AM$4/100*$AK$4))</f>
        <v>8</v>
      </c>
      <c r="AK46" s="42">
        <f>=AI46*AJ46</f>
        <v>0</v>
      </c>
      <c r="AL46" s="4" t="s"/>
      <c r="AM46" s="4" t="s"/>
    </row>
    <row r="47" spans="1:39" ht="15" customHeight="1">
      <c r="A47" s="21" t="s"/>
      <c r="B47" s="65" t="s"/>
      <c r="C47" s="118" t="s"/>
      <c r="D47" s="119" t="s"/>
      <c r="E47" s="120" t="s"/>
      <c r="F47" s="119" t="s"/>
      <c r="G47" s="118" t="s"/>
      <c r="H47" s="119" t="s"/>
      <c r="I47" s="76" t="s"/>
      <c r="J47" s="21" t="s"/>
      <c r="K47" s="21" t="s"/>
      <c r="L47" s="21" t="s"/>
      <c r="M47" s="21" t="s"/>
      <c r="N47" s="21" t="s"/>
      <c r="O47" s="21" t="s"/>
      <c r="P47" s="21" t="s"/>
      <c r="Q47" s="21" t="s"/>
      <c r="R47" s="21" t="s"/>
      <c r="S47" s="21" t="s"/>
      <c r="T47" s="21" t="s"/>
      <c r="U47" s="21" t="s"/>
      <c r="V47" s="21" t="s"/>
      <c r="W47" s="21" t="s"/>
      <c r="X47" s="21" t="s"/>
      <c r="Y47" s="4" t="s"/>
      <c r="Z47" s="4" t="s"/>
      <c r="AA47" s="4" t="s"/>
      <c r="AB47" s="4" t="s"/>
      <c r="AC47" s="4" t="s"/>
      <c r="AD47" s="4" t="s"/>
      <c r="AE47" s="4" t="s"/>
      <c r="AF47" s="4" t="s"/>
      <c r="AG47" s="4" t="s"/>
      <c r="AH47" s="4" t="s"/>
      <c r="AI47" s="4" t="s"/>
      <c r="AJ47" s="4">
        <f>=MIN(AN$4,AJ46+IF(AH47="原始",$AJ$4/COUNTIF($AH$5:$AH$100,"原始")*$AM$4/100*$AK$4,AI47*$AJ$4*$AM$4/100*$AK$4))</f>
        <v>8</v>
      </c>
      <c r="AK47" s="42">
        <f>=AI47*AJ47</f>
        <v>0</v>
      </c>
      <c r="AL47" s="4" t="s"/>
      <c r="AM47" s="4" t="s"/>
    </row>
    <row r="48" spans="1:39" ht="15" customHeight="1">
      <c r="A48" s="21" t="s"/>
      <c r="B48" s="65" t="s"/>
      <c r="C48" s="120" t="s"/>
      <c r="D48" s="119" t="s"/>
      <c r="E48" s="120" t="s"/>
      <c r="F48" s="119" t="s"/>
      <c r="G48" s="120" t="s"/>
      <c r="H48" s="119" t="s"/>
      <c r="I48" s="76" t="s"/>
      <c r="J48" s="21" t="s"/>
      <c r="K48" s="21" t="s"/>
      <c r="L48" s="21" t="s"/>
      <c r="M48" s="21" t="s"/>
      <c r="N48" s="21" t="s"/>
      <c r="O48" s="21" t="s"/>
      <c r="P48" s="21" t="s"/>
      <c r="Q48" s="21" t="s"/>
      <c r="R48" s="21" t="s"/>
      <c r="S48" s="21" t="s"/>
      <c r="T48" s="21" t="s"/>
      <c r="U48" s="21" t="s"/>
      <c r="V48" s="21" t="s"/>
      <c r="W48" s="21" t="s"/>
      <c r="X48" s="21" t="s"/>
      <c r="Y48" s="4" t="s"/>
      <c r="Z48" s="4" t="s"/>
      <c r="AA48" s="4" t="s"/>
      <c r="AB48" s="4" t="s"/>
      <c r="AC48" s="4" t="s"/>
      <c r="AD48" s="4" t="s"/>
      <c r="AE48" s="4" t="s"/>
      <c r="AF48" s="4" t="s"/>
      <c r="AG48" s="4" t="s"/>
      <c r="AH48" s="4" t="s"/>
      <c r="AI48" s="4" t="s"/>
      <c r="AJ48" s="4">
        <f>=MIN(AN$4,AJ47+IF(AH48="原始",$AJ$4/COUNTIF($AH$5:$AH$100,"原始")*$AM$4/100*$AK$4,AI48*$AJ$4*$AM$4/100*$AK$4))</f>
        <v>8</v>
      </c>
      <c r="AK48" s="42">
        <f>=AI48*AJ48</f>
        <v>0</v>
      </c>
      <c r="AL48" s="4" t="s"/>
      <c r="AM48" s="4" t="s"/>
    </row>
    <row r="49" spans="1:39" ht="15" customHeight="1">
      <c r="A49" s="21" t="s"/>
      <c r="B49" s="65" t="s"/>
      <c r="C49" s="120" t="s"/>
      <c r="D49" s="119" t="s"/>
      <c r="E49" s="120" t="s"/>
      <c r="F49" s="119" t="s"/>
      <c r="G49" s="120" t="s"/>
      <c r="H49" s="119" t="s"/>
      <c r="I49" s="76" t="s"/>
      <c r="J49" s="21" t="s"/>
      <c r="K49" s="21" t="s"/>
      <c r="L49" s="21" t="s"/>
      <c r="M49" s="21" t="s"/>
      <c r="N49" s="21" t="s"/>
      <c r="O49" s="21" t="s"/>
      <c r="P49" s="21" t="s"/>
      <c r="Q49" s="21" t="s"/>
      <c r="R49" s="21" t="s"/>
      <c r="S49" s="21" t="s"/>
      <c r="T49" s="21" t="s"/>
      <c r="U49" s="21" t="s"/>
      <c r="V49" s="21" t="s"/>
      <c r="W49" s="21" t="s"/>
      <c r="X49" s="21" t="s"/>
      <c r="Y49" s="4" t="s"/>
      <c r="Z49" s="4" t="s"/>
      <c r="AA49" s="4" t="s"/>
      <c r="AB49" s="4" t="s"/>
      <c r="AC49" s="4" t="s"/>
      <c r="AD49" s="4" t="s"/>
      <c r="AE49" s="4" t="s"/>
      <c r="AF49" s="4" t="s"/>
      <c r="AG49" s="4" t="s"/>
      <c r="AH49" s="4" t="s"/>
      <c r="AI49" s="4" t="s"/>
      <c r="AJ49" s="4">
        <f>=MIN(AN$4,AJ48+IF(AH49="原始",$AJ$4/COUNTIF($AH$5:$AH$100,"原始")*$AM$4/100*$AK$4,AI49*$AJ$4*$AM$4/100*$AK$4))</f>
        <v>8</v>
      </c>
      <c r="AK49" s="42">
        <f>=AI49*AJ49</f>
        <v>0</v>
      </c>
      <c r="AL49" s="4" t="s"/>
      <c r="AM49" s="4" t="s"/>
    </row>
    <row r="50" spans="1:39" ht="15" customHeight="1">
      <c r="A50" s="21" t="s"/>
      <c r="B50" s="65" t="s"/>
      <c r="C50" s="120" t="s"/>
      <c r="D50" s="119" t="s"/>
      <c r="E50" s="120" t="s"/>
      <c r="F50" s="119" t="s"/>
      <c r="G50" s="120" t="s"/>
      <c r="H50" s="119" t="s"/>
      <c r="I50" s="76" t="s"/>
      <c r="J50" s="21" t="s"/>
      <c r="K50" s="21" t="s"/>
      <c r="L50" s="21" t="s"/>
      <c r="M50" s="21" t="s"/>
      <c r="N50" s="21" t="s"/>
      <c r="O50" s="21" t="s"/>
      <c r="P50" s="21" t="s"/>
      <c r="Q50" s="21" t="s"/>
      <c r="R50" s="21" t="s"/>
      <c r="S50" s="21" t="s"/>
      <c r="T50" s="21" t="s"/>
      <c r="U50" s="21" t="s"/>
      <c r="V50" s="21" t="s"/>
      <c r="W50" s="21" t="s"/>
      <c r="X50" s="21" t="s"/>
      <c r="Y50" s="4" t="s"/>
      <c r="Z50" s="4" t="s"/>
      <c r="AA50" s="4" t="s"/>
      <c r="AB50" s="4" t="s"/>
      <c r="AC50" s="4" t="s"/>
      <c r="AD50" s="4" t="s"/>
      <c r="AE50" s="4" t="s"/>
      <c r="AF50" s="4" t="s"/>
      <c r="AG50" s="4" t="s"/>
      <c r="AH50" s="4" t="s"/>
      <c r="AI50" s="4" t="s"/>
      <c r="AJ50" s="4">
        <f>=MIN(AN$4,AJ49+IF(AH50="原始",$AJ$4/COUNTIF($AH$5:$AH$100,"原始")*$AM$4/100*$AK$4,AI50*$AJ$4*$AM$4/100*$AK$4))</f>
        <v>8</v>
      </c>
      <c r="AK50" s="42">
        <f>=AI50*AJ50</f>
        <v>0</v>
      </c>
      <c r="AL50" s="4" t="s"/>
      <c r="AM50" s="4" t="s"/>
    </row>
    <row r="51" spans="1:39" ht="15" customHeight="1">
      <c r="A51" s="21" t="s"/>
      <c r="B51" s="65" t="s"/>
      <c r="C51" s="120" t="s"/>
      <c r="D51" s="119" t="s"/>
      <c r="E51" s="120" t="s"/>
      <c r="F51" s="119" t="s"/>
      <c r="G51" s="120" t="s"/>
      <c r="H51" s="119" t="s"/>
      <c r="I51" s="76" t="s"/>
      <c r="J51" s="21" t="s"/>
      <c r="K51" s="21" t="s"/>
      <c r="L51" s="21" t="s"/>
      <c r="M51" s="21" t="s"/>
      <c r="N51" s="21" t="s"/>
      <c r="O51" s="21" t="s"/>
      <c r="P51" s="21" t="s"/>
      <c r="Q51" s="21" t="s"/>
      <c r="R51" s="21" t="s"/>
      <c r="S51" s="21" t="s"/>
      <c r="T51" s="21" t="s"/>
      <c r="U51" s="21" t="s"/>
      <c r="V51" s="21" t="s"/>
      <c r="W51" s="21" t="s"/>
      <c r="X51" s="21" t="s"/>
      <c r="Y51" s="4" t="s"/>
      <c r="Z51" s="4" t="s"/>
      <c r="AA51" s="4" t="s"/>
      <c r="AB51" s="4" t="s"/>
      <c r="AC51" s="4" t="s"/>
      <c r="AD51" s="4" t="s"/>
      <c r="AE51" s="4" t="s"/>
      <c r="AF51" s="4" t="s"/>
      <c r="AG51" s="4" t="s"/>
      <c r="AH51" s="4" t="s"/>
      <c r="AI51" s="4" t="s"/>
      <c r="AJ51" s="4">
        <f>=MIN(AN$4,AJ50+IF(AH51="原始",$AJ$4/COUNTIF($AH$5:$AH$100,"原始")*$AM$4/100*$AK$4,AI51*$AJ$4*$AM$4/100*$AK$4))</f>
        <v>8</v>
      </c>
      <c r="AK51" s="42">
        <f>=AI51*AJ51</f>
        <v>0</v>
      </c>
      <c r="AL51" s="4" t="s"/>
      <c r="AM51" s="4" t="s"/>
    </row>
    <row r="52" spans="1:39" ht="15" customHeight="1" thickBot="1">
      <c r="A52" s="21" t="s"/>
      <c r="B52" s="65" t="s"/>
      <c r="C52" s="127" t="s"/>
      <c r="D52" s="128" t="s"/>
      <c r="E52" s="127" t="s"/>
      <c r="F52" s="128" t="s"/>
      <c r="G52" s="127" t="s"/>
      <c r="H52" s="128" t="s"/>
      <c r="I52" s="76" t="s"/>
      <c r="J52" s="21" t="s"/>
      <c r="K52" s="21" t="s"/>
      <c r="L52" s="21" t="s"/>
      <c r="M52" s="21" t="s"/>
      <c r="N52" s="21" t="s"/>
      <c r="O52" s="21" t="s"/>
      <c r="P52" s="21" t="s"/>
      <c r="Q52" s="21" t="s"/>
      <c r="R52" s="21" t="s"/>
      <c r="S52" s="21" t="s"/>
      <c r="T52" s="21" t="s"/>
      <c r="U52" s="21" t="s"/>
      <c r="V52" s="21" t="s"/>
      <c r="W52" s="21" t="s"/>
      <c r="X52" s="21" t="s"/>
      <c r="Y52" s="4" t="s"/>
      <c r="Z52" s="4" t="s"/>
      <c r="AA52" s="4" t="s"/>
      <c r="AB52" s="4" t="s"/>
      <c r="AC52" s="4" t="s"/>
      <c r="AD52" s="4" t="s"/>
      <c r="AE52" s="4" t="s"/>
      <c r="AF52" s="4" t="s"/>
      <c r="AG52" s="4" t="s"/>
      <c r="AH52" s="4" t="s"/>
      <c r="AI52" s="4" t="s"/>
      <c r="AJ52" s="4">
        <f>=MIN(AN$4,AJ51+IF(AH52="原始",$AJ$4/COUNTIF($AH$5:$AH$100,"原始")*$AM$4/100*$AK$4,AI52*$AJ$4*$AM$4/100*$AK$4))</f>
        <v>8</v>
      </c>
      <c r="AK52" s="42">
        <f>=AI52*AJ52</f>
        <v>0</v>
      </c>
      <c r="AL52" s="4" t="s"/>
      <c r="AM52" s="4" t="s"/>
    </row>
    <row r="53" spans="1:39" ht="12" customHeight="1">
      <c r="A53" s="21" t="s"/>
      <c r="B53" s="21" t="s"/>
      <c r="C53" s="95" t="s"/>
      <c r="D53" s="95" t="s"/>
      <c r="E53" s="95" t="s"/>
      <c r="F53" s="95" t="s"/>
      <c r="G53" s="95" t="s"/>
      <c r="H53" s="95" t="s"/>
      <c r="I53" s="21" t="s"/>
      <c r="J53" s="21" t="s"/>
      <c r="K53" s="21" t="s"/>
      <c r="L53" s="21" t="s"/>
      <c r="M53" s="21" t="s"/>
      <c r="N53" s="21" t="s"/>
      <c r="O53" s="21" t="s"/>
      <c r="P53" s="21" t="s"/>
      <c r="Q53" s="21" t="s"/>
      <c r="R53" s="21" t="s"/>
      <c r="S53" s="21" t="s"/>
      <c r="T53" s="21" t="s"/>
      <c r="U53" s="21" t="s"/>
      <c r="V53" s="21" t="s"/>
      <c r="W53" s="21" t="s"/>
      <c r="X53" s="21" t="s"/>
      <c r="Y53" s="4" t="s"/>
      <c r="Z53" s="4" t="s"/>
      <c r="AA53" s="4" t="s"/>
      <c r="AB53" s="4" t="s"/>
      <c r="AC53" s="4" t="s"/>
      <c r="AD53" s="4" t="s"/>
      <c r="AE53" s="4" t="s"/>
      <c r="AF53" s="4" t="s"/>
      <c r="AG53" s="4" t="s"/>
      <c r="AH53" s="4" t="s"/>
      <c r="AI53" s="4" t="s"/>
      <c r="AJ53" s="4" t="s"/>
      <c r="AK53" s="4" t="s"/>
      <c r="AL53" s="4" t="s"/>
      <c r="AM53" s="4" t="s"/>
    </row>
    <row r="54" spans="1:39" ht="15" customHeight="1" thickBot="1">
      <c r="A54" s="21" t="s"/>
      <c r="B54" s="21" t="s"/>
      <c r="C54" s="62" t="s"/>
      <c r="D54" s="62" t="s"/>
      <c r="E54" s="62" t="s"/>
      <c r="F54" s="62" t="s"/>
      <c r="G54" s="62" t="s"/>
      <c r="H54" s="62" t="s"/>
      <c r="I54" s="62" t="s"/>
      <c r="J54" s="62" t="s"/>
      <c r="K54" s="62" t="s"/>
      <c r="L54" s="62" t="s"/>
      <c r="M54" s="62" t="s"/>
      <c r="N54" s="62" t="s"/>
      <c r="O54" s="62" t="s"/>
      <c r="P54" s="62" t="s"/>
      <c r="Q54" s="62" t="s"/>
      <c r="R54" s="21" t="s"/>
      <c r="S54" s="21" t="s"/>
      <c r="T54" s="21" t="s"/>
      <c r="U54" s="21" t="s"/>
      <c r="V54" s="21" t="s"/>
      <c r="W54" s="21" t="s"/>
      <c r="X54" s="21" t="s"/>
      <c r="Y54" s="4" t="s"/>
      <c r="Z54" s="4" t="s"/>
      <c r="AA54" s="4" t="s"/>
      <c r="AB54" s="4" t="s"/>
      <c r="AC54" s="4" t="s"/>
      <c r="AD54" s="4" t="s"/>
      <c r="AE54" s="4" t="s"/>
      <c r="AF54" s="4" t="s"/>
      <c r="AG54" s="4" t="s"/>
      <c r="AH54" s="4" t="s"/>
      <c r="AI54" s="4" t="s"/>
      <c r="AJ54" s="4" t="s"/>
      <c r="AK54" s="4" t="s"/>
      <c r="AL54" s="4" t="s"/>
      <c r="AM54" s="4" t="s"/>
    </row>
    <row r="55" spans="1:39" ht="15" customHeight="1">
      <c r="A55" s="21" t="s"/>
      <c r="B55" s="65" t="s"/>
      <c r="C55" s="110" t="s">
        <v>51</v>
      </c>
      <c r="D55" s="129" t="s">
        <v>94</v>
      </c>
      <c r="E55" s="129" t="s">
        <v>95</v>
      </c>
      <c r="F55" s="129" t="s">
        <v>96</v>
      </c>
      <c r="G55" s="129" t="s">
        <v>97</v>
      </c>
      <c r="H55" s="129" t="s">
        <v>98</v>
      </c>
      <c r="I55" s="129" t="s">
        <v>99</v>
      </c>
      <c r="J55" s="129" t="s">
        <v>100</v>
      </c>
      <c r="K55" s="129" t="s">
        <v>101</v>
      </c>
      <c r="L55" s="129" t="s">
        <v>102</v>
      </c>
      <c r="M55" s="67" t="s"/>
      <c r="N55" s="129" t="s">
        <v>103</v>
      </c>
      <c r="O55" s="129" t="s">
        <v>104</v>
      </c>
      <c r="P55" s="67" t="s"/>
      <c r="Q55" s="111" t="s">
        <v>105</v>
      </c>
      <c r="R55" s="76" t="s"/>
      <c r="S55" s="21" t="s"/>
      <c r="T55" s="21" t="s"/>
      <c r="U55" s="21" t="s"/>
      <c r="V55" s="21" t="s"/>
      <c r="W55" s="21" t="s"/>
      <c r="X55" s="21" t="s"/>
      <c r="Y55" s="4" t="s"/>
      <c r="Z55" s="4" t="s"/>
      <c r="AA55" s="4" t="s"/>
      <c r="AB55" s="4" t="s"/>
      <c r="AC55" s="4" t="s"/>
      <c r="AD55" s="4" t="s"/>
      <c r="AE55" s="4" t="s"/>
      <c r="AF55" s="4" t="s"/>
      <c r="AG55" s="4" t="s"/>
      <c r="AH55" s="4" t="s"/>
      <c r="AI55" s="4" t="s"/>
      <c r="AJ55" s="4" t="s"/>
      <c r="AK55" s="4" t="s"/>
      <c r="AL55" s="4" t="s"/>
      <c r="AM55" s="4" t="s"/>
    </row>
    <row r="56" spans="1:39" ht="15" customHeight="1" thickBot="1">
      <c r="A56" s="21" t="s"/>
      <c r="B56" s="65" t="s"/>
      <c r="C56" s="130">
        <f>=L10</f>
        <v>3.75</v>
      </c>
      <c r="D56" s="98">
        <f>=((SUM(N15:N23)+SUM(D42:D52)+SUM(J42*K42+J43*K43+J44*K44))/100+1)</f>
        <v>1.1</v>
      </c>
      <c r="E56" s="98">
        <f>=(SUM(P27:P34)+SUM(F42:F52))/100+1</f>
        <v>1</v>
      </c>
      <c r="F56" s="98">
        <f>=SUM(H42:H52)</f>
        <v>1.5</v>
      </c>
      <c r="G56" s="98">
        <f>=(O6+1)*(P6+(P38+P39)/100+1)</f>
        <v>2.5</v>
      </c>
      <c r="H56" s="99" t="s"/>
      <c r="I56" s="99" t="s"/>
      <c r="J56" s="99" t="s"/>
      <c r="K56" s="99">
        <v>1</v>
      </c>
      <c r="L56" s="98">
        <f>=PRODUCT(B56:K56)</f>
        <v>15.46875</v>
      </c>
      <c r="M56" s="131" t="s"/>
      <c r="N56" s="99">
        <v>1</v>
      </c>
      <c r="O56" s="98">
        <f>=IF(L56&gt;1000000000,2000000000-EXP(0.7-0.7*(L56*N56/1000000000))*1000000000,L56*N56)</f>
        <v>15.46875</v>
      </c>
      <c r="P56" s="131" t="s"/>
      <c r="Q56" s="128" t="s"/>
      <c r="R56" s="76" t="s"/>
      <c r="S56" s="21" t="s"/>
      <c r="T56" s="21" t="s"/>
      <c r="U56" s="21" t="s"/>
      <c r="V56" s="21" t="s"/>
      <c r="W56" s="21" t="s"/>
      <c r="X56" s="21" t="s"/>
      <c r="Y56" s="4" t="s"/>
      <c r="Z56" s="4" t="s"/>
      <c r="AA56" s="4" t="s"/>
      <c r="AB56" s="4" t="s"/>
      <c r="AC56" s="4" t="s"/>
      <c r="AD56" s="4" t="s"/>
      <c r="AE56" s="4" t="s"/>
      <c r="AF56" s="4" t="s"/>
      <c r="AG56" s="4" t="s"/>
      <c r="AH56" s="4" t="s"/>
      <c r="AI56" s="4" t="s"/>
      <c r="AJ56" s="4" t="s"/>
      <c r="AK56" s="4" t="s"/>
      <c r="AL56" s="4" t="s"/>
      <c r="AM56" s="4" t="s"/>
    </row>
    <row r="57" spans="1:39" ht="15" customHeight="1" thickBot="1">
      <c r="A57" s="21" t="s"/>
      <c r="B57" s="21" t="s"/>
      <c r="C57" s="100" t="s"/>
      <c r="D57" s="100" t="s"/>
      <c r="E57" s="100" t="s"/>
      <c r="F57" s="100" t="s"/>
      <c r="G57" s="100" t="s"/>
      <c r="H57" s="100" t="s"/>
      <c r="I57" s="100" t="s"/>
      <c r="J57" s="100" t="s"/>
      <c r="K57" s="100" t="s"/>
      <c r="L57" s="100" t="s"/>
      <c r="M57" s="100" t="s"/>
      <c r="N57" s="95" t="s"/>
      <c r="O57" s="95" t="s"/>
      <c r="P57" s="95" t="s"/>
      <c r="Q57" s="95" t="s"/>
      <c r="R57" s="21" t="s"/>
      <c r="S57" s="21" t="s"/>
      <c r="T57" s="21" t="s"/>
      <c r="U57" s="21" t="s"/>
      <c r="V57" s="21" t="s"/>
      <c r="W57" s="21" t="s"/>
      <c r="X57" s="21" t="s"/>
      <c r="Y57" s="4" t="s"/>
      <c r="Z57" s="4" t="s"/>
      <c r="AA57" s="4" t="s"/>
      <c r="AB57" s="4" t="s"/>
      <c r="AC57" s="4" t="s"/>
      <c r="AD57" s="4" t="s"/>
      <c r="AE57" s="4" t="s"/>
      <c r="AF57" s="4" t="s"/>
      <c r="AG57" s="4" t="s"/>
      <c r="AH57" s="4" t="s"/>
      <c r="AI57" s="4" t="s"/>
      <c r="AJ57" s="4" t="s"/>
      <c r="AK57" s="4" t="s"/>
      <c r="AL57" s="4" t="s"/>
      <c r="AM57" s="4" t="s"/>
    </row>
    <row r="58" spans="1:39" ht="15" customHeight="1">
      <c r="A58" s="21" t="s"/>
      <c r="B58" s="65" t="s"/>
      <c r="C58" s="132" t="s">
        <v>106</v>
      </c>
      <c r="D58" s="133" t="s">
        <v>107</v>
      </c>
      <c r="E58" s="133" t="s">
        <v>108</v>
      </c>
      <c r="F58" s="134" t="s">
        <v>109</v>
      </c>
      <c r="G58" s="134" t="s">
        <v>110</v>
      </c>
      <c r="H58" s="134" t="s">
        <v>111</v>
      </c>
      <c r="I58" s="134" t="s">
        <v>112</v>
      </c>
      <c r="J58" s="134" t="s">
        <v>113</v>
      </c>
      <c r="K58" s="133" t="s">
        <v>114</v>
      </c>
      <c r="L58" s="134" t="s">
        <v>115</v>
      </c>
      <c r="M58" s="135" t="s"/>
      <c r="N58" s="76" t="s"/>
      <c r="O58" s="21" t="s"/>
      <c r="P58" s="21" t="s"/>
      <c r="Q58" s="21" t="s"/>
      <c r="R58" s="21" t="s"/>
      <c r="S58" s="21" t="s"/>
      <c r="T58" s="21" t="s"/>
      <c r="U58" s="21" t="s"/>
      <c r="V58" s="21" t="s"/>
      <c r="W58" s="21" t="s"/>
      <c r="X58" s="21" t="s"/>
      <c r="Y58" s="4" t="s"/>
      <c r="Z58" s="4" t="s"/>
      <c r="AA58" s="4" t="s"/>
      <c r="AB58" s="4" t="s"/>
      <c r="AC58" s="4" t="s"/>
      <c r="AD58" s="4" t="s"/>
      <c r="AE58" s="4" t="s"/>
      <c r="AF58" s="4" t="s"/>
      <c r="AG58" s="4" t="s"/>
      <c r="AH58" s="4" t="s"/>
      <c r="AI58" s="4" t="s"/>
      <c r="AJ58" s="4" t="s"/>
      <c r="AK58" s="4" t="s"/>
      <c r="AL58" s="4" t="s"/>
      <c r="AM58" s="4" t="s"/>
    </row>
    <row r="59" spans="1:39" ht="15" customHeight="1" thickBot="1">
      <c r="A59" s="21" t="s"/>
      <c r="B59" s="65" t="s"/>
      <c r="C59" s="136">
        <v>40</v>
      </c>
      <c r="D59" s="137">
        <v>2</v>
      </c>
      <c r="E59" s="137">
        <v>1</v>
      </c>
      <c r="F59" s="138">
        <f>=VLOOKUP(C59,B69:E86,2,FALSE)</f>
        <v>700000</v>
      </c>
      <c r="G59" s="62">
        <f>=VLOOKUP(C59,B69:E87,3,FALSE)</f>
        <v>13888889</v>
      </c>
      <c r="H59" s="139">
        <v>0.018</v>
      </c>
      <c r="I59" s="62">
        <f>=H59*(G59*LN((O56+Q56)/G59)+G59)</f>
        <v>-3176944.4919559</v>
      </c>
      <c r="J59" s="140">
        <f>=VLOOKUP(D59,I69:J97,2,FALSE)</f>
        <v>1.29</v>
      </c>
      <c r="K59" s="137">
        <v>1.35</v>
      </c>
      <c r="L59" s="138">
        <f>=(F59+I59+(E59*VLOOKUP(C59,B69:E90,4,FALSE)))*J59*K59</f>
        <v>-4052373.83274121</v>
      </c>
      <c r="M59" s="141" t="s"/>
      <c r="N59" s="76" t="s"/>
      <c r="O59" s="21" t="s"/>
      <c r="P59" s="21" t="s"/>
      <c r="Q59" s="21" t="s"/>
      <c r="R59" s="21" t="s"/>
      <c r="S59" s="21" t="s"/>
      <c r="T59" s="21" t="s"/>
      <c r="U59" s="21" t="s"/>
      <c r="V59" s="21" t="s"/>
      <c r="W59" s="21" t="s"/>
      <c r="X59" s="21" t="s"/>
      <c r="Y59" s="4" t="s"/>
      <c r="Z59" s="4" t="s"/>
      <c r="AA59" s="4" t="s"/>
      <c r="AB59" s="4" t="s"/>
      <c r="AC59" s="4" t="s"/>
      <c r="AD59" s="4" t="s"/>
      <c r="AE59" s="4" t="s"/>
      <c r="AF59" s="4" t="s"/>
      <c r="AG59" s="4" t="s"/>
      <c r="AH59" s="4" t="s"/>
      <c r="AI59" s="4" t="s"/>
      <c r="AJ59" s="4" t="s"/>
      <c r="AK59" s="4" t="s"/>
      <c r="AL59" s="4" t="s"/>
      <c r="AM59" s="4" t="s"/>
    </row>
    <row r="60" spans="1:39" ht="15" customHeight="1">
      <c r="A60" s="21" t="s"/>
      <c r="B60" s="21" t="s"/>
      <c r="C60" s="95" t="s"/>
      <c r="D60" s="95" t="s"/>
      <c r="E60" s="95" t="s"/>
      <c r="F60" s="95" t="s"/>
      <c r="G60" s="95" t="s"/>
      <c r="H60" s="95" t="s"/>
      <c r="I60" s="95" t="s"/>
      <c r="J60" s="95" t="s"/>
      <c r="K60" s="95" t="s"/>
      <c r="L60" s="95" t="s"/>
      <c r="M60" s="95" t="s"/>
      <c r="N60" s="21" t="s"/>
      <c r="O60" s="21" t="s"/>
      <c r="P60" s="21" t="s"/>
      <c r="Q60" s="21" t="s"/>
      <c r="R60" s="21" t="s"/>
      <c r="S60" s="21" t="s"/>
      <c r="T60" s="21" t="s"/>
      <c r="U60" s="21" t="s"/>
      <c r="V60" s="21" t="s"/>
      <c r="W60" s="21" t="s"/>
      <c r="X60" s="21" t="s"/>
      <c r="Y60" s="4" t="s"/>
      <c r="Z60" s="4" t="s"/>
      <c r="AA60" s="4" t="s"/>
      <c r="AB60" s="4" t="s"/>
      <c r="AC60" s="4" t="s"/>
      <c r="AD60" s="4" t="s"/>
      <c r="AE60" s="4" t="s"/>
      <c r="AF60" s="4" t="s"/>
      <c r="AG60" s="4" t="s"/>
      <c r="AH60" s="4" t="s"/>
      <c r="AI60" s="4" t="s"/>
      <c r="AJ60" s="4" t="s"/>
      <c r="AK60" s="4" t="s"/>
      <c r="AL60" s="4" t="s"/>
      <c r="AM60" s="4" t="s"/>
    </row>
    <row r="61" spans="1:39" ht="19" customHeight="1">
      <c r="A61" s="21" t="s"/>
      <c r="B61" s="21" t="s"/>
      <c r="C61" s="52" t="s">
        <v>116</v>
      </c>
      <c r="D61" s="21" t="s"/>
      <c r="E61" s="21" t="s"/>
      <c r="F61" s="21" t="s"/>
      <c r="G61" s="21" t="s"/>
      <c r="H61" s="21" t="s"/>
      <c r="I61" s="21" t="s"/>
      <c r="J61" s="21" t="s"/>
      <c r="K61" s="21" t="s"/>
      <c r="L61" s="21" t="s"/>
      <c r="M61" s="21" t="s"/>
      <c r="N61" s="21" t="s"/>
      <c r="O61" s="21" t="s"/>
      <c r="P61" s="21" t="s"/>
      <c r="Q61" s="21" t="s"/>
      <c r="R61" s="21" t="s"/>
      <c r="S61" s="21" t="s"/>
      <c r="T61" s="21" t="s"/>
      <c r="U61" s="21" t="s"/>
      <c r="V61" s="21" t="s"/>
      <c r="W61" s="21" t="s"/>
      <c r="X61" s="21" t="s"/>
      <c r="Y61" s="4" t="s"/>
      <c r="Z61" s="4" t="s"/>
      <c r="AA61" s="4" t="s"/>
      <c r="AB61" s="4" t="s"/>
      <c r="AC61" s="4" t="s"/>
      <c r="AD61" s="4" t="s"/>
      <c r="AE61" s="4" t="s"/>
      <c r="AF61" s="4" t="s"/>
      <c r="AG61" s="4" t="s"/>
      <c r="AH61" s="4" t="s"/>
      <c r="AI61" s="4" t="s"/>
      <c r="AJ61" s="4" t="s"/>
      <c r="AK61" s="4" t="s"/>
      <c r="AL61" s="4" t="s"/>
      <c r="AM61" s="4" t="s"/>
    </row>
    <row r="62" spans="1:39" ht="15" customHeight="1">
      <c r="A62" s="21" t="s"/>
      <c r="B62" s="21" t="s"/>
      <c r="C62" s="52" t="s">
        <v>117</v>
      </c>
      <c r="D62" s="52" t="s">
        <v>106</v>
      </c>
      <c r="E62" s="52" t="s">
        <v>107</v>
      </c>
      <c r="F62" s="52" t="s">
        <v>108</v>
      </c>
      <c r="G62" s="52" t="s">
        <v>109</v>
      </c>
      <c r="H62" s="52" t="s">
        <v>111</v>
      </c>
      <c r="I62" s="52" t="s">
        <v>110</v>
      </c>
      <c r="J62" s="52" t="s">
        <v>112</v>
      </c>
      <c r="K62" s="52" t="s">
        <v>113</v>
      </c>
      <c r="L62" s="52" t="s">
        <v>114</v>
      </c>
      <c r="M62" s="52" t="s">
        <v>115</v>
      </c>
      <c r="N62" s="21" t="s"/>
      <c r="O62" s="21" t="s"/>
      <c r="P62" s="21" t="s"/>
      <c r="Q62" s="21" t="s"/>
      <c r="R62" s="21" t="s"/>
      <c r="S62" s="21" t="s"/>
      <c r="T62" s="21" t="s"/>
      <c r="U62" s="21" t="s"/>
      <c r="V62" s="21" t="s"/>
      <c r="W62" s="21" t="s"/>
      <c r="X62" s="21" t="s"/>
      <c r="Y62" s="4" t="s"/>
      <c r="Z62" s="4" t="s"/>
      <c r="AA62" s="4" t="s"/>
      <c r="AB62" s="4" t="s"/>
      <c r="AC62" s="4" t="s"/>
      <c r="AD62" s="4" t="s"/>
      <c r="AE62" s="4" t="s"/>
      <c r="AF62" s="4" t="s"/>
      <c r="AG62" s="4" t="s"/>
      <c r="AH62" s="4" t="s"/>
      <c r="AI62" s="4" t="s"/>
      <c r="AJ62" s="4" t="s"/>
      <c r="AK62" s="4" t="s"/>
      <c r="AL62" s="4" t="s"/>
      <c r="AM62" s="4" t="s"/>
    </row>
    <row r="63" spans="1:39" ht="15" customHeight="1">
      <c r="A63" s="21" t="s"/>
      <c r="B63" s="21" t="s"/>
      <c r="C63" s="21">
        <v>1402264076</v>
      </c>
      <c r="D63" s="21">
        <v>40</v>
      </c>
      <c r="E63" s="21">
        <v>2</v>
      </c>
      <c r="F63" s="21">
        <v>1</v>
      </c>
      <c r="G63" s="21">
        <f>=VLOOKUP(C59,B69:E86,2,FALSE)</f>
        <v>700000</v>
      </c>
      <c r="H63" s="142">
        <v>0.18</v>
      </c>
      <c r="I63" s="21">
        <v>13888889</v>
      </c>
      <c r="J63" s="21">
        <f>=H63*(G59*LN((C63)/G59)+G59)</f>
        <v>14036885.7086075</v>
      </c>
      <c r="K63" s="21">
        <f>=VLOOKUP(D59,I69:J97,2,FALSE)</f>
        <v>1.29</v>
      </c>
      <c r="L63" s="21">
        <v>1.35</v>
      </c>
      <c r="M63" s="21">
        <f>=(G63+J63+(F63*VLOOKUP(D63,B70:E108,4,FALSE)))*K63*L63</f>
        <v>25925511.4615399</v>
      </c>
      <c r="N63" s="21" t="s"/>
      <c r="O63" s="21" t="s"/>
      <c r="P63" s="21" t="s"/>
      <c r="Q63" s="21" t="s"/>
      <c r="R63" s="21" t="s"/>
      <c r="S63" s="21" t="s"/>
      <c r="T63" s="21" t="s"/>
      <c r="U63" s="21" t="s"/>
      <c r="V63" s="21" t="s"/>
      <c r="W63" s="21" t="s"/>
      <c r="X63" s="21" t="s"/>
      <c r="Y63" s="4" t="s"/>
      <c r="Z63" s="4" t="s"/>
      <c r="AA63" s="4" t="s"/>
      <c r="AB63" s="4" t="s"/>
      <c r="AC63" s="4" t="s"/>
      <c r="AD63" s="4" t="s"/>
      <c r="AE63" s="4" t="s"/>
      <c r="AF63" s="4" t="s"/>
      <c r="AG63" s="4" t="s"/>
      <c r="AH63" s="4" t="s"/>
      <c r="AI63" s="4" t="s"/>
      <c r="AJ63" s="4" t="s"/>
      <c r="AK63" s="4" t="s"/>
      <c r="AL63" s="4" t="s"/>
      <c r="AM63" s="4" t="s"/>
    </row>
    <row r="64" spans="1:39" ht="15" customHeight="1">
      <c r="A64" s="21" t="s"/>
      <c r="B64" s="21" t="s"/>
      <c r="C64" s="21" t="s"/>
      <c r="D64" s="21" t="s"/>
      <c r="E64" s="21" t="s"/>
      <c r="F64" s="21" t="s"/>
      <c r="G64" s="21" t="s"/>
      <c r="H64" s="21" t="s"/>
      <c r="I64" s="21" t="s"/>
      <c r="J64" s="21" t="s"/>
      <c r="K64" s="21" t="s"/>
      <c r="L64" s="21" t="s"/>
      <c r="M64" s="21" t="s"/>
      <c r="N64" s="21" t="s"/>
      <c r="O64" s="21" t="s"/>
      <c r="P64" s="21" t="s"/>
      <c r="Q64" s="21" t="s"/>
      <c r="R64" s="21" t="s"/>
      <c r="S64" s="21" t="s"/>
      <c r="T64" s="21" t="s"/>
      <c r="U64" s="21" t="s"/>
      <c r="V64" s="21" t="s"/>
      <c r="W64" s="21" t="s"/>
      <c r="X64" s="21" t="s"/>
      <c r="Y64" s="4" t="s"/>
      <c r="Z64" s="4" t="s"/>
      <c r="AA64" s="4" t="s"/>
      <c r="AB64" s="4" t="s"/>
      <c r="AC64" s="4" t="s"/>
      <c r="AD64" s="4" t="s"/>
      <c r="AE64" s="4" t="s"/>
      <c r="AF64" s="4" t="s"/>
      <c r="AG64" s="4" t="s"/>
      <c r="AH64" s="4" t="s"/>
      <c r="AI64" s="4" t="s"/>
      <c r="AJ64" s="4" t="s"/>
      <c r="AK64" s="4" t="s"/>
      <c r="AL64" s="4" t="s"/>
      <c r="AM64" s="4" t="s"/>
    </row>
    <row r="65" spans="1:39" ht="15" customHeight="1">
      <c r="A65" s="21" t="s"/>
      <c r="B65" s="21" t="s"/>
      <c r="C65" s="21" t="s"/>
      <c r="D65" s="21" t="s"/>
      <c r="E65" s="21" t="s"/>
      <c r="F65" s="21" t="s"/>
      <c r="G65" s="21" t="s"/>
      <c r="H65" s="21" t="s"/>
      <c r="I65" s="21" t="s"/>
      <c r="J65" s="21" t="s"/>
      <c r="K65" s="21" t="s"/>
      <c r="L65" s="21" t="s"/>
      <c r="M65" s="21" t="s"/>
      <c r="N65" s="21" t="s"/>
      <c r="O65" s="21" t="s"/>
      <c r="P65" s="21" t="s"/>
      <c r="Q65" s="21" t="s"/>
      <c r="R65" s="21" t="s"/>
      <c r="S65" s="21" t="s"/>
      <c r="T65" s="21" t="s"/>
      <c r="U65" s="21" t="s"/>
      <c r="V65" s="21" t="s"/>
      <c r="W65" s="21" t="s"/>
      <c r="X65" s="21" t="s"/>
      <c r="Y65" s="4" t="s"/>
      <c r="Z65" s="4" t="s"/>
      <c r="AA65" s="4" t="s"/>
      <c r="AB65" s="4" t="s"/>
      <c r="AC65" s="4" t="s"/>
      <c r="AD65" s="4" t="s"/>
      <c r="AE65" s="4" t="s"/>
      <c r="AF65" s="4" t="s"/>
      <c r="AG65" s="4" t="s"/>
      <c r="AH65" s="4" t="s"/>
      <c r="AI65" s="4" t="s"/>
      <c r="AJ65" s="4" t="s"/>
      <c r="AK65" s="4" t="s"/>
      <c r="AL65" s="4" t="s"/>
      <c r="AM65" s="4" t="s"/>
    </row>
    <row r="66" spans="1:39" ht="15" customHeight="1">
      <c r="A66" s="21" t="s"/>
      <c r="B66" s="21" t="s"/>
      <c r="C66" s="21" t="s"/>
      <c r="D66" s="21" t="s"/>
      <c r="E66" s="21" t="s"/>
      <c r="F66" s="21" t="s"/>
      <c r="G66" s="21" t="s"/>
      <c r="H66" s="21" t="s"/>
      <c r="I66" s="21" t="s"/>
      <c r="J66" s="21" t="s"/>
      <c r="K66" s="21" t="s"/>
      <c r="L66" s="21" t="s"/>
      <c r="M66" s="21" t="s"/>
      <c r="N66" s="21" t="s"/>
      <c r="O66" s="21" t="s"/>
      <c r="P66" s="21" t="s"/>
      <c r="Q66" s="21" t="s"/>
      <c r="R66" s="21" t="s"/>
      <c r="S66" s="21" t="s"/>
      <c r="T66" s="21" t="s"/>
      <c r="U66" s="21" t="s"/>
      <c r="V66" s="21" t="s"/>
      <c r="W66" s="21" t="s"/>
      <c r="X66" s="21" t="s"/>
      <c r="Y66" s="4" t="s"/>
      <c r="Z66" s="4" t="s"/>
      <c r="AA66" s="4" t="s"/>
      <c r="AB66" s="4" t="s"/>
      <c r="AC66" s="4" t="s"/>
      <c r="AD66" s="4" t="s"/>
      <c r="AE66" s="4" t="s"/>
      <c r="AF66" s="4" t="s"/>
      <c r="AG66" s="4" t="s"/>
      <c r="AH66" s="4" t="s"/>
      <c r="AI66" s="4" t="s"/>
      <c r="AJ66" s="4" t="s"/>
      <c r="AK66" s="4" t="s"/>
      <c r="AL66" s="4" t="s"/>
      <c r="AM66" s="4" t="s"/>
    </row>
    <row r="67" spans="1:39" ht="15" customHeight="1">
      <c r="A67" s="21" t="s"/>
      <c r="B67" s="21" t="s"/>
      <c r="C67" s="21" t="s"/>
      <c r="D67" s="21" t="s"/>
      <c r="E67" s="21" t="s"/>
      <c r="F67" s="21" t="s"/>
      <c r="G67" s="21" t="s"/>
      <c r="H67" s="21" t="s"/>
      <c r="I67" s="21" t="s"/>
      <c r="J67" s="21" t="s"/>
      <c r="K67" s="21" t="s"/>
      <c r="L67" s="21" t="s"/>
      <c r="M67" s="21" t="s"/>
      <c r="N67" s="21" t="s"/>
      <c r="O67" s="21" t="s"/>
      <c r="P67" s="21" t="s"/>
      <c r="Q67" s="21" t="s"/>
      <c r="R67" s="21" t="s"/>
      <c r="S67" s="21" t="s"/>
      <c r="T67" s="21" t="s"/>
      <c r="U67" s="21" t="s"/>
      <c r="V67" s="21" t="s"/>
      <c r="W67" s="21" t="s"/>
      <c r="X67" s="21" t="s"/>
      <c r="Y67" s="4" t="s"/>
      <c r="Z67" s="4" t="s"/>
      <c r="AA67" s="4" t="s"/>
      <c r="AB67" s="4" t="s"/>
      <c r="AC67" s="4" t="s"/>
      <c r="AD67" s="4" t="s"/>
      <c r="AE67" s="4" t="s"/>
      <c r="AF67" s="4" t="s"/>
      <c r="AG67" s="4" t="s"/>
      <c r="AH67" s="4" t="s"/>
      <c r="AI67" s="4" t="s"/>
      <c r="AJ67" s="4" t="s"/>
      <c r="AK67" s="4" t="s"/>
      <c r="AL67" s="4" t="s"/>
      <c r="AM67" s="4" t="s"/>
    </row>
    <row r="68" spans="1:39" ht="15" customHeight="1">
      <c r="A68" s="52" t="s">
        <v>118</v>
      </c>
      <c r="B68" s="21" t="s"/>
      <c r="C68" s="21" t="s"/>
      <c r="D68" s="21" t="s"/>
      <c r="E68" s="21" t="s"/>
      <c r="F68" s="21" t="s"/>
      <c r="G68" s="21" t="s"/>
      <c r="H68" s="21" t="s"/>
      <c r="I68" s="21" t="s"/>
      <c r="J68" s="21" t="s"/>
      <c r="K68" s="21" t="s"/>
      <c r="L68" s="21" t="s"/>
      <c r="M68" s="21" t="s"/>
      <c r="N68" s="21" t="s"/>
      <c r="O68" s="21" t="s"/>
      <c r="P68" s="21" t="s"/>
      <c r="Q68" s="21" t="s"/>
      <c r="R68" s="21" t="s"/>
      <c r="S68" s="21" t="s"/>
      <c r="T68" s="21" t="s"/>
      <c r="U68" s="21" t="s"/>
      <c r="V68" s="21" t="s"/>
      <c r="W68" s="21" t="s"/>
      <c r="X68" s="21" t="s"/>
      <c r="Y68" s="4" t="s"/>
      <c r="Z68" s="4" t="s"/>
      <c r="AA68" s="4" t="s"/>
      <c r="AB68" s="4" t="s"/>
      <c r="AC68" s="4" t="s"/>
      <c r="AD68" s="4" t="s"/>
      <c r="AE68" s="4" t="s"/>
      <c r="AF68" s="4" t="s"/>
      <c r="AG68" s="4" t="s"/>
      <c r="AH68" s="4" t="s"/>
      <c r="AI68" s="4" t="s"/>
      <c r="AJ68" s="4" t="s"/>
      <c r="AK68" s="4" t="s"/>
      <c r="AL68" s="4" t="s"/>
      <c r="AM68" s="4" t="s"/>
    </row>
    <row r="69" spans="1:39" ht="15" customHeight="1">
      <c r="A69" s="21" t="s"/>
      <c r="B69" s="52" t="s">
        <v>106</v>
      </c>
      <c r="C69" s="52" t="s">
        <v>109</v>
      </c>
      <c r="D69" s="52" t="s">
        <v>110</v>
      </c>
      <c r="E69" s="52" t="s">
        <v>119</v>
      </c>
      <c r="F69" s="21" t="s"/>
      <c r="G69" s="21" t="s"/>
      <c r="H69" s="21" t="s"/>
      <c r="I69" s="52" t="s">
        <v>107</v>
      </c>
      <c r="J69" s="21" t="s"/>
      <c r="K69" s="21" t="s"/>
      <c r="L69" s="21" t="s"/>
      <c r="M69" s="21" t="s"/>
      <c r="N69" s="21" t="s"/>
      <c r="O69" s="21" t="s"/>
      <c r="P69" s="21" t="s"/>
      <c r="Q69" s="21" t="s"/>
      <c r="R69" s="21" t="s"/>
      <c r="S69" s="21" t="s"/>
      <c r="T69" s="21" t="s"/>
      <c r="U69" s="21" t="s"/>
      <c r="V69" s="21" t="s"/>
      <c r="W69" s="21" t="s"/>
      <c r="X69" s="21" t="s"/>
      <c r="Y69" s="4" t="s"/>
      <c r="Z69" s="4" t="s"/>
      <c r="AA69" s="4" t="s"/>
      <c r="AB69" s="4" t="s"/>
      <c r="AC69" s="4" t="s"/>
      <c r="AD69" s="4" t="s"/>
      <c r="AE69" s="4" t="s"/>
      <c r="AF69" s="4" t="s"/>
      <c r="AG69" s="4" t="s"/>
      <c r="AH69" s="4" t="s"/>
      <c r="AI69" s="4" t="s"/>
      <c r="AJ69" s="4" t="s"/>
      <c r="AK69" s="4" t="s"/>
      <c r="AL69" s="4" t="s"/>
      <c r="AM69" s="4" t="s"/>
    </row>
    <row r="70" spans="1:39" ht="15" customHeight="1">
      <c r="A70" s="21" t="s"/>
      <c r="B70" s="21">
        <v>40</v>
      </c>
      <c r="C70" s="21">
        <v>700000</v>
      </c>
      <c r="D70" s="21">
        <v>13888889</v>
      </c>
      <c r="E70" s="21">
        <v>150000</v>
      </c>
      <c r="F70" s="21" t="s"/>
      <c r="G70" s="21" t="s"/>
      <c r="H70" s="21" t="s"/>
      <c r="I70" s="21">
        <v>1</v>
      </c>
      <c r="J70" s="21">
        <v>1.3</v>
      </c>
      <c r="K70" s="21" t="s"/>
      <c r="L70" s="21" t="s"/>
      <c r="M70" s="21" t="s"/>
      <c r="N70" s="21" t="s"/>
      <c r="O70" s="21" t="s"/>
      <c r="P70" s="21" t="s"/>
      <c r="Q70" s="21" t="s"/>
      <c r="R70" s="21" t="s"/>
      <c r="S70" s="21" t="s"/>
      <c r="T70" s="21" t="s"/>
      <c r="U70" s="21" t="s"/>
      <c r="V70" s="21" t="s"/>
      <c r="W70" s="21" t="s"/>
      <c r="X70" s="21" t="s"/>
      <c r="Y70" s="4" t="s"/>
      <c r="Z70" s="4" t="s"/>
      <c r="AA70" s="4" t="s"/>
      <c r="AB70" s="4" t="s"/>
      <c r="AC70" s="4" t="s"/>
      <c r="AD70" s="4" t="s"/>
      <c r="AE70" s="4" t="s"/>
      <c r="AF70" s="4" t="s"/>
      <c r="AG70" s="4" t="s"/>
      <c r="AH70" s="4" t="s"/>
      <c r="AI70" s="4" t="s"/>
      <c r="AJ70" s="4" t="s"/>
      <c r="AK70" s="4" t="s"/>
      <c r="AL70" s="4" t="s"/>
      <c r="AM70" s="4" t="s"/>
    </row>
    <row r="71" spans="1:39" ht="15" customHeight="1">
      <c r="A71" s="21" t="s"/>
      <c r="B71" s="21">
        <v>39</v>
      </c>
      <c r="C71" s="21">
        <v>630000</v>
      </c>
      <c r="D71" s="21">
        <v>25000000</v>
      </c>
      <c r="E71" s="21">
        <v>145000</v>
      </c>
      <c r="F71" s="21" t="s"/>
      <c r="G71" s="21" t="s"/>
      <c r="H71" s="21" t="s"/>
      <c r="I71" s="21">
        <v>2</v>
      </c>
      <c r="J71" s="21">
        <v>1.29</v>
      </c>
      <c r="K71" s="21" t="s"/>
      <c r="L71" s="21" t="s"/>
      <c r="M71" s="21" t="s"/>
      <c r="N71" s="21" t="s"/>
      <c r="O71" s="21" t="s"/>
      <c r="P71" s="21" t="s"/>
      <c r="Q71" s="21" t="s"/>
      <c r="R71" s="21" t="s"/>
      <c r="S71" s="21" t="s"/>
      <c r="T71" s="21" t="s"/>
      <c r="U71" s="21" t="s"/>
      <c r="V71" s="21" t="s"/>
      <c r="W71" s="21" t="s"/>
      <c r="X71" s="21" t="s"/>
      <c r="Y71" s="4" t="s"/>
      <c r="Z71" s="4" t="s"/>
      <c r="AA71" s="4" t="s"/>
      <c r="AB71" s="4" t="s"/>
      <c r="AC71" s="4" t="s"/>
      <c r="AD71" s="4" t="s"/>
      <c r="AE71" s="4" t="s"/>
      <c r="AF71" s="4" t="s"/>
      <c r="AG71" s="4" t="s"/>
      <c r="AH71" s="4" t="s"/>
      <c r="AI71" s="4" t="s"/>
      <c r="AJ71" s="4" t="s"/>
      <c r="AK71" s="4" t="s"/>
      <c r="AL71" s="4" t="s"/>
      <c r="AM71" s="4" t="s"/>
    </row>
    <row r="72" spans="1:39" ht="15" customHeight="1">
      <c r="A72" s="21" t="s"/>
      <c r="B72" s="21">
        <v>38</v>
      </c>
      <c r="C72" s="21">
        <v>620000</v>
      </c>
      <c r="D72" s="21">
        <v>25000000</v>
      </c>
      <c r="E72" s="21">
        <v>140000</v>
      </c>
      <c r="F72" s="21" t="s"/>
      <c r="G72" s="21" t="s"/>
      <c r="H72" s="21" t="s"/>
      <c r="I72" s="21">
        <v>3</v>
      </c>
      <c r="J72" s="21">
        <v>1.28</v>
      </c>
      <c r="K72" s="21" t="s"/>
      <c r="L72" s="21" t="s"/>
      <c r="M72" s="21" t="s"/>
      <c r="N72" s="21" t="s"/>
      <c r="O72" s="21" t="s"/>
      <c r="P72" s="21" t="s"/>
      <c r="Q72" s="21" t="s"/>
      <c r="R72" s="21" t="s"/>
      <c r="S72" s="21" t="s"/>
      <c r="T72" s="21" t="s"/>
      <c r="U72" s="21" t="s"/>
      <c r="V72" s="21" t="s"/>
      <c r="W72" s="21" t="s"/>
      <c r="X72" s="21" t="s"/>
      <c r="Y72" s="4" t="s"/>
      <c r="Z72" s="4" t="s"/>
      <c r="AA72" s="4" t="s"/>
      <c r="AB72" s="4" t="s"/>
      <c r="AC72" s="4" t="s"/>
      <c r="AD72" s="4" t="s"/>
      <c r="AE72" s="4" t="s"/>
      <c r="AF72" s="4" t="s"/>
      <c r="AG72" s="4" t="s"/>
      <c r="AH72" s="4" t="s"/>
      <c r="AI72" s="4" t="s"/>
      <c r="AJ72" s="4" t="s"/>
      <c r="AK72" s="4" t="s"/>
      <c r="AL72" s="4" t="s"/>
      <c r="AM72" s="4" t="s"/>
    </row>
    <row r="73" spans="1:39" ht="15" customHeight="1">
      <c r="A73" s="21" t="s"/>
      <c r="B73" s="21">
        <v>37</v>
      </c>
      <c r="C73" s="21">
        <v>610000</v>
      </c>
      <c r="D73" s="21">
        <v>25000000</v>
      </c>
      <c r="E73" s="21">
        <v>135000</v>
      </c>
      <c r="F73" s="21" t="s"/>
      <c r="G73" s="21" t="s"/>
      <c r="H73" s="21" t="s"/>
      <c r="I73" s="21">
        <v>4</v>
      </c>
      <c r="J73" s="21">
        <v>1.27</v>
      </c>
      <c r="K73" s="21" t="s"/>
      <c r="L73" s="21" t="s"/>
      <c r="M73" s="21" t="s"/>
      <c r="N73" s="21" t="s"/>
      <c r="O73" s="21" t="s"/>
      <c r="P73" s="21" t="s"/>
      <c r="Q73" s="21" t="s"/>
      <c r="R73" s="21" t="s"/>
      <c r="S73" s="21" t="s"/>
      <c r="T73" s="21" t="s"/>
      <c r="U73" s="21" t="s"/>
      <c r="V73" s="21" t="s"/>
      <c r="W73" s="21" t="s"/>
      <c r="X73" s="21" t="s"/>
      <c r="Y73" s="4" t="s"/>
      <c r="Z73" s="4" t="s"/>
      <c r="AA73" s="4" t="s"/>
      <c r="AB73" s="4" t="s"/>
      <c r="AC73" s="4" t="s"/>
      <c r="AD73" s="4" t="s"/>
      <c r="AE73" s="4" t="s"/>
      <c r="AF73" s="4" t="s"/>
      <c r="AG73" s="4" t="s"/>
      <c r="AH73" s="4" t="s"/>
      <c r="AI73" s="4" t="s"/>
      <c r="AJ73" s="4" t="s"/>
      <c r="AK73" s="4" t="s"/>
      <c r="AL73" s="4" t="s"/>
      <c r="AM73" s="4" t="s"/>
    </row>
    <row r="74" spans="1:39" ht="15" customHeight="1">
      <c r="A74" s="21" t="s"/>
      <c r="B74" s="21">
        <v>36</v>
      </c>
      <c r="C74" s="21">
        <v>600000</v>
      </c>
      <c r="D74" s="21">
        <v>25000000</v>
      </c>
      <c r="E74" s="21">
        <v>130000</v>
      </c>
      <c r="F74" s="21" t="s"/>
      <c r="G74" s="21" t="s"/>
      <c r="H74" s="21" t="s"/>
      <c r="I74" s="21">
        <v>5</v>
      </c>
      <c r="J74" s="21">
        <v>1.26</v>
      </c>
      <c r="K74" s="21" t="s"/>
      <c r="L74" s="21" t="s"/>
      <c r="M74" s="21" t="s"/>
      <c r="N74" s="21" t="s"/>
      <c r="O74" s="21" t="s"/>
      <c r="P74" s="21" t="s"/>
      <c r="Q74" s="21" t="s"/>
      <c r="R74" s="21" t="s"/>
      <c r="S74" s="21" t="s"/>
      <c r="T74" s="21" t="s"/>
      <c r="U74" s="21" t="s"/>
      <c r="V74" s="21" t="s"/>
      <c r="W74" s="21" t="s"/>
      <c r="X74" s="21" t="s"/>
      <c r="Y74" s="4" t="s"/>
      <c r="Z74" s="4" t="s"/>
      <c r="AA74" s="4" t="s"/>
      <c r="AB74" s="4" t="s"/>
      <c r="AC74" s="4" t="s"/>
      <c r="AD74" s="4" t="s"/>
      <c r="AE74" s="4" t="s"/>
      <c r="AF74" s="4" t="s"/>
      <c r="AG74" s="4" t="s"/>
      <c r="AH74" s="4" t="s"/>
      <c r="AI74" s="4" t="s"/>
      <c r="AJ74" s="4" t="s"/>
      <c r="AK74" s="4" t="s"/>
      <c r="AL74" s="4" t="s"/>
      <c r="AM74" s="4" t="s"/>
    </row>
    <row r="75" spans="1:39" ht="15" customHeight="1">
      <c r="A75" s="21" t="s"/>
      <c r="B75" s="21">
        <v>35</v>
      </c>
      <c r="C75" s="21">
        <v>500000</v>
      </c>
      <c r="D75" s="21">
        <v>20000000</v>
      </c>
      <c r="E75" s="21">
        <v>120000</v>
      </c>
      <c r="F75" s="21" t="s"/>
      <c r="G75" s="21" t="s"/>
      <c r="H75" s="21" t="s"/>
      <c r="I75" s="21">
        <v>6</v>
      </c>
      <c r="J75" s="21">
        <v>1.24</v>
      </c>
      <c r="K75" s="21" t="s"/>
      <c r="L75" s="21" t="s"/>
      <c r="M75" s="21" t="s"/>
      <c r="N75" s="21" t="s"/>
      <c r="O75" s="21" t="s"/>
      <c r="P75" s="21" t="s"/>
      <c r="Q75" s="21" t="s"/>
      <c r="R75" s="21" t="s"/>
      <c r="S75" s="21" t="s"/>
      <c r="T75" s="21" t="s"/>
      <c r="U75" s="21" t="s"/>
      <c r="V75" s="21" t="s"/>
      <c r="W75" s="21" t="s"/>
      <c r="X75" s="21" t="s"/>
      <c r="Y75" s="4" t="s"/>
      <c r="Z75" s="4" t="s"/>
      <c r="AA75" s="4" t="s"/>
      <c r="AB75" s="4" t="s"/>
      <c r="AC75" s="4" t="s"/>
      <c r="AD75" s="4" t="s"/>
      <c r="AE75" s="4" t="s"/>
      <c r="AF75" s="4" t="s"/>
      <c r="AG75" s="4" t="s"/>
      <c r="AH75" s="4" t="s"/>
      <c r="AI75" s="4" t="s"/>
      <c r="AJ75" s="4" t="s"/>
      <c r="AK75" s="4" t="s"/>
      <c r="AL75" s="4" t="s"/>
      <c r="AM75" s="4" t="s"/>
    </row>
    <row r="76" spans="1:39" ht="15" customHeight="1">
      <c r="A76" s="21" t="s"/>
      <c r="B76" s="21">
        <v>34</v>
      </c>
      <c r="C76" s="21">
        <v>470000</v>
      </c>
      <c r="D76" s="21">
        <v>20000000</v>
      </c>
      <c r="E76" s="21">
        <v>116000</v>
      </c>
      <c r="F76" s="21" t="s"/>
      <c r="G76" s="21" t="s"/>
      <c r="H76" s="21" t="s"/>
      <c r="I76" s="21">
        <v>7</v>
      </c>
      <c r="J76" s="21">
        <v>1.23</v>
      </c>
      <c r="K76" s="21" t="s"/>
      <c r="L76" s="21" t="s"/>
      <c r="M76" s="21" t="s"/>
      <c r="N76" s="21" t="s"/>
      <c r="O76" s="21" t="s"/>
      <c r="P76" s="21" t="s"/>
      <c r="Q76" s="21" t="s"/>
      <c r="R76" s="21" t="s"/>
      <c r="S76" s="21" t="s"/>
      <c r="T76" s="21" t="s"/>
      <c r="U76" s="21" t="s"/>
      <c r="V76" s="21" t="s"/>
      <c r="W76" s="21" t="s"/>
      <c r="X76" s="21" t="s"/>
      <c r="Y76" s="4" t="s"/>
      <c r="Z76" s="4" t="s"/>
      <c r="AA76" s="4" t="s"/>
      <c r="AB76" s="4" t="s"/>
      <c r="AC76" s="4" t="s"/>
      <c r="AD76" s="4" t="s"/>
      <c r="AE76" s="4" t="s"/>
      <c r="AF76" s="4" t="s"/>
      <c r="AG76" s="4" t="s"/>
      <c r="AH76" s="4" t="s"/>
      <c r="AI76" s="4" t="s"/>
      <c r="AJ76" s="4" t="s"/>
      <c r="AK76" s="4" t="s"/>
      <c r="AL76" s="4" t="s"/>
      <c r="AM76" s="4" t="s"/>
    </row>
    <row r="77" spans="1:39" ht="15" customHeight="1">
      <c r="A77" s="21" t="s"/>
      <c r="B77" s="21">
        <v>33</v>
      </c>
      <c r="C77" s="21">
        <v>450000</v>
      </c>
      <c r="D77" s="21">
        <v>20000000</v>
      </c>
      <c r="E77" s="21">
        <v>112000</v>
      </c>
      <c r="F77" s="21" t="s"/>
      <c r="G77" s="21" t="s"/>
      <c r="H77" s="21" t="s"/>
      <c r="I77" s="21">
        <v>8</v>
      </c>
      <c r="J77" s="21">
        <v>1.22</v>
      </c>
      <c r="K77" s="21" t="s"/>
      <c r="L77" s="21" t="s"/>
      <c r="M77" s="21" t="s"/>
      <c r="N77" s="21" t="s"/>
      <c r="O77" s="21" t="s"/>
      <c r="P77" s="21" t="s"/>
      <c r="Q77" s="21" t="s"/>
      <c r="R77" s="21" t="s"/>
      <c r="S77" s="21" t="s"/>
      <c r="T77" s="21" t="s"/>
      <c r="U77" s="21" t="s"/>
      <c r="V77" s="21" t="s"/>
      <c r="W77" s="21" t="s"/>
      <c r="X77" s="21" t="s"/>
      <c r="Y77" s="4" t="s"/>
      <c r="Z77" s="4" t="s"/>
      <c r="AA77" s="4" t="s"/>
      <c r="AB77" s="4" t="s"/>
      <c r="AC77" s="4" t="s"/>
      <c r="AD77" s="4" t="s"/>
      <c r="AE77" s="4" t="s"/>
      <c r="AF77" s="4" t="s"/>
      <c r="AG77" s="4" t="s"/>
      <c r="AH77" s="4" t="s"/>
      <c r="AI77" s="4" t="s"/>
      <c r="AJ77" s="4" t="s"/>
      <c r="AK77" s="4" t="s"/>
      <c r="AL77" s="4" t="s"/>
      <c r="AM77" s="4" t="s"/>
    </row>
    <row r="78" spans="1:39" ht="15" customHeight="1">
      <c r="A78" s="21" t="s"/>
      <c r="B78" s="21">
        <v>32</v>
      </c>
      <c r="C78" s="21">
        <v>420000</v>
      </c>
      <c r="D78" s="21">
        <v>20000000</v>
      </c>
      <c r="E78" s="21">
        <v>108000</v>
      </c>
      <c r="F78" s="21" t="s"/>
      <c r="G78" s="21" t="s"/>
      <c r="H78" s="21" t="s"/>
      <c r="I78" s="21">
        <v>9</v>
      </c>
      <c r="J78" s="21">
        <v>1.21</v>
      </c>
      <c r="K78" s="21" t="s"/>
      <c r="L78" s="21" t="s"/>
      <c r="M78" s="21" t="s"/>
      <c r="N78" s="21" t="s"/>
      <c r="O78" s="21" t="s"/>
      <c r="P78" s="21" t="s"/>
      <c r="Q78" s="21" t="s"/>
      <c r="R78" s="21" t="s"/>
      <c r="S78" s="21" t="s"/>
      <c r="T78" s="21" t="s"/>
      <c r="U78" s="21" t="s"/>
      <c r="V78" s="21" t="s"/>
      <c r="W78" s="21" t="s"/>
      <c r="X78" s="21" t="s"/>
      <c r="Y78" s="4" t="s"/>
      <c r="Z78" s="4" t="s"/>
      <c r="AA78" s="4" t="s"/>
      <c r="AB78" s="4" t="s"/>
      <c r="AC78" s="4" t="s"/>
      <c r="AD78" s="4" t="s"/>
      <c r="AE78" s="4" t="s"/>
      <c r="AF78" s="4" t="s"/>
      <c r="AG78" s="4" t="s"/>
      <c r="AH78" s="4" t="s"/>
      <c r="AI78" s="4" t="s"/>
      <c r="AJ78" s="4" t="s"/>
      <c r="AK78" s="4" t="s"/>
      <c r="AL78" s="4" t="s"/>
      <c r="AM78" s="4" t="s"/>
    </row>
    <row r="79" spans="1:39" ht="15" customHeight="1">
      <c r="A79" s="21" t="s"/>
      <c r="B79" s="21">
        <v>37</v>
      </c>
      <c r="C79" s="21">
        <v>400000</v>
      </c>
      <c r="D79" s="21">
        <v>20000000</v>
      </c>
      <c r="E79" s="21">
        <v>104000</v>
      </c>
      <c r="F79" s="21" t="s"/>
      <c r="G79" s="21" t="s"/>
      <c r="H79" s="21" t="s"/>
      <c r="I79" s="21">
        <v>10</v>
      </c>
      <c r="J79" s="21">
        <v>1.2</v>
      </c>
      <c r="K79" s="21" t="s"/>
      <c r="L79" s="21" t="s"/>
      <c r="M79" s="21" t="s"/>
      <c r="N79" s="21" t="s"/>
      <c r="O79" s="21" t="s"/>
      <c r="P79" s="21" t="s"/>
      <c r="Q79" s="21" t="s"/>
      <c r="R79" s="21" t="s"/>
      <c r="S79" s="21" t="s"/>
      <c r="T79" s="21" t="s"/>
      <c r="U79" s="21" t="s"/>
      <c r="V79" s="21" t="s"/>
      <c r="W79" s="21" t="s"/>
      <c r="X79" s="21" t="s"/>
      <c r="Y79" s="4" t="s"/>
      <c r="Z79" s="4" t="s"/>
      <c r="AA79" s="4" t="s"/>
      <c r="AB79" s="4" t="s"/>
      <c r="AC79" s="4" t="s"/>
      <c r="AD79" s="4" t="s"/>
      <c r="AE79" s="4" t="s"/>
      <c r="AF79" s="4" t="s"/>
      <c r="AG79" s="4" t="s"/>
      <c r="AH79" s="4" t="s"/>
      <c r="AI79" s="4" t="s"/>
      <c r="AJ79" s="4" t="s"/>
      <c r="AK79" s="4" t="s"/>
      <c r="AL79" s="4" t="s"/>
      <c r="AM79" s="4" t="s"/>
    </row>
    <row r="80" spans="1:39" ht="15" customHeight="1">
      <c r="A80" s="21" t="s"/>
      <c r="B80" s="21">
        <v>30</v>
      </c>
      <c r="C80" s="21">
        <v>350000</v>
      </c>
      <c r="D80" s="21">
        <v>13000000</v>
      </c>
      <c r="E80" s="21">
        <v>100000</v>
      </c>
      <c r="F80" s="21" t="s"/>
      <c r="G80" s="21" t="s"/>
      <c r="H80" s="21" t="s"/>
      <c r="I80" s="21">
        <v>11</v>
      </c>
      <c r="J80" s="21">
        <v>1.19</v>
      </c>
      <c r="K80" s="21" t="s"/>
      <c r="L80" s="21" t="s"/>
      <c r="M80" s="21" t="s"/>
      <c r="N80" s="21" t="s"/>
      <c r="O80" s="21" t="s"/>
      <c r="P80" s="21" t="s"/>
      <c r="Q80" s="21" t="s"/>
      <c r="R80" s="21" t="s"/>
      <c r="S80" s="21" t="s"/>
      <c r="T80" s="21" t="s"/>
      <c r="U80" s="21" t="s"/>
      <c r="V80" s="21" t="s"/>
      <c r="W80" s="21" t="s"/>
      <c r="X80" s="21" t="s"/>
      <c r="Y80" s="4" t="s"/>
      <c r="Z80" s="4" t="s"/>
      <c r="AA80" s="4" t="s"/>
      <c r="AB80" s="4" t="s"/>
      <c r="AC80" s="4" t="s"/>
      <c r="AD80" s="4" t="s"/>
      <c r="AE80" s="4" t="s"/>
      <c r="AF80" s="4" t="s"/>
      <c r="AG80" s="4" t="s"/>
      <c r="AH80" s="4" t="s"/>
      <c r="AI80" s="4" t="s"/>
      <c r="AJ80" s="4" t="s"/>
      <c r="AK80" s="4" t="s"/>
      <c r="AL80" s="4" t="s"/>
      <c r="AM80" s="4" t="s"/>
    </row>
    <row r="81" spans="1:39" ht="15" customHeight="1">
      <c r="A81" s="21" t="s"/>
      <c r="B81" s="21" t="s"/>
      <c r="C81" s="21" t="s"/>
      <c r="D81" s="21" t="s"/>
      <c r="E81" s="21" t="s"/>
      <c r="F81" s="21" t="s"/>
      <c r="G81" s="21" t="s"/>
      <c r="H81" s="21" t="s"/>
      <c r="I81" s="21">
        <v>12</v>
      </c>
      <c r="J81" s="21">
        <v>1.18</v>
      </c>
      <c r="K81" s="21" t="s"/>
      <c r="L81" s="21" t="s"/>
      <c r="M81" s="21" t="s"/>
      <c r="N81" s="21" t="s"/>
      <c r="O81" s="21" t="s"/>
      <c r="P81" s="21" t="s"/>
      <c r="Q81" s="21" t="s"/>
      <c r="R81" s="21" t="s"/>
      <c r="S81" s="21" t="s"/>
      <c r="T81" s="21" t="s"/>
      <c r="U81" s="21" t="s"/>
      <c r="V81" s="21" t="s"/>
      <c r="W81" s="21" t="s"/>
      <c r="X81" s="21" t="s"/>
      <c r="Y81" s="4" t="s"/>
      <c r="Z81" s="4" t="s"/>
      <c r="AA81" s="4" t="s"/>
      <c r="AB81" s="4" t="s"/>
      <c r="AC81" s="4" t="s"/>
      <c r="AD81" s="4" t="s"/>
      <c r="AE81" s="4" t="s"/>
      <c r="AF81" s="4" t="s"/>
      <c r="AG81" s="4" t="s"/>
      <c r="AH81" s="4" t="s"/>
      <c r="AI81" s="4" t="s"/>
      <c r="AJ81" s="4" t="s"/>
      <c r="AK81" s="4" t="s"/>
      <c r="AL81" s="4" t="s"/>
      <c r="AM81" s="4" t="s"/>
    </row>
    <row r="82" spans="1:39" ht="15" customHeight="1">
      <c r="A82" s="21" t="s"/>
      <c r="B82" s="21" t="s"/>
      <c r="C82" s="21" t="s"/>
      <c r="D82" s="21" t="s"/>
      <c r="E82" s="21" t="s"/>
      <c r="F82" s="21" t="s"/>
      <c r="G82" s="21" t="s"/>
      <c r="H82" s="21" t="s"/>
      <c r="I82" s="21">
        <v>13</v>
      </c>
      <c r="J82" s="21">
        <v>1.17</v>
      </c>
      <c r="K82" s="21" t="s"/>
      <c r="L82" s="21" t="s"/>
      <c r="M82" s="21" t="s"/>
      <c r="N82" s="21" t="s"/>
      <c r="O82" s="21" t="s"/>
      <c r="P82" s="21" t="s"/>
      <c r="Q82" s="21" t="s"/>
      <c r="R82" s="21" t="s"/>
      <c r="S82" s="21" t="s"/>
      <c r="T82" s="21" t="s"/>
      <c r="U82" s="21" t="s"/>
      <c r="V82" s="21" t="s"/>
      <c r="W82" s="21" t="s"/>
      <c r="X82" s="21" t="s"/>
      <c r="Y82" s="4" t="s"/>
      <c r="Z82" s="4" t="s"/>
      <c r="AA82" s="4" t="s"/>
      <c r="AB82" s="4" t="s"/>
      <c r="AC82" s="4" t="s"/>
      <c r="AD82" s="4" t="s"/>
      <c r="AE82" s="4" t="s"/>
      <c r="AF82" s="4" t="s"/>
      <c r="AG82" s="4" t="s"/>
      <c r="AH82" s="4" t="s"/>
      <c r="AI82" s="4" t="s"/>
      <c r="AJ82" s="4" t="s"/>
      <c r="AK82" s="4" t="s"/>
      <c r="AL82" s="4" t="s"/>
      <c r="AM82" s="4" t="s"/>
    </row>
    <row r="83" spans="1:39" ht="15" customHeight="1">
      <c r="A83" s="21" t="s"/>
      <c r="B83" s="21" t="s"/>
      <c r="C83" s="21" t="s"/>
      <c r="D83" s="21" t="s"/>
      <c r="E83" s="21" t="s"/>
      <c r="F83" s="21" t="s"/>
      <c r="G83" s="21" t="s"/>
      <c r="H83" s="21" t="s"/>
      <c r="I83" s="21">
        <v>14</v>
      </c>
      <c r="J83" s="21">
        <v>1.16</v>
      </c>
      <c r="K83" s="21" t="s"/>
      <c r="L83" s="21" t="s"/>
      <c r="M83" s="21" t="s"/>
      <c r="N83" s="21" t="s"/>
      <c r="O83" s="21" t="s"/>
      <c r="P83" s="21" t="s"/>
      <c r="Q83" s="21" t="s"/>
      <c r="R83" s="21" t="s"/>
      <c r="S83" s="21" t="s"/>
      <c r="T83" s="21" t="s"/>
      <c r="U83" s="21" t="s"/>
      <c r="V83" s="21" t="s"/>
      <c r="W83" s="21" t="s"/>
      <c r="X83" s="21" t="s"/>
      <c r="Y83" s="4" t="s"/>
      <c r="Z83" s="4" t="s"/>
      <c r="AA83" s="4" t="s"/>
      <c r="AB83" s="4" t="s"/>
      <c r="AC83" s="4" t="s"/>
      <c r="AD83" s="4" t="s"/>
      <c r="AE83" s="4" t="s"/>
      <c r="AF83" s="4" t="s"/>
      <c r="AG83" s="4" t="s"/>
      <c r="AH83" s="4" t="s"/>
      <c r="AI83" s="4" t="s"/>
      <c r="AJ83" s="4" t="s"/>
      <c r="AK83" s="4" t="s"/>
      <c r="AL83" s="4" t="s"/>
      <c r="AM83" s="4" t="s"/>
    </row>
    <row r="84" spans="1:39" ht="15" customHeight="1">
      <c r="A84" s="21" t="s"/>
      <c r="B84" s="21" t="s"/>
      <c r="C84" s="21" t="s"/>
      <c r="D84" s="21" t="s"/>
      <c r="E84" s="21" t="s"/>
      <c r="F84" s="21" t="s"/>
      <c r="G84" s="21" t="s"/>
      <c r="H84" s="21" t="s"/>
      <c r="I84" s="21">
        <v>15</v>
      </c>
      <c r="J84" s="21">
        <v>1.15</v>
      </c>
      <c r="K84" s="21" t="s"/>
      <c r="L84" s="21" t="s"/>
      <c r="M84" s="21" t="s"/>
      <c r="N84" s="21" t="s"/>
      <c r="O84" s="21" t="s"/>
      <c r="P84" s="21" t="s"/>
      <c r="Q84" s="21" t="s"/>
      <c r="R84" s="21" t="s"/>
      <c r="S84" s="21" t="s"/>
      <c r="T84" s="21" t="s"/>
      <c r="U84" s="21" t="s"/>
      <c r="V84" s="21" t="s"/>
      <c r="W84" s="21" t="s"/>
      <c r="X84" s="21" t="s"/>
      <c r="Y84" s="4" t="s"/>
      <c r="Z84" s="4" t="s"/>
      <c r="AA84" s="4" t="s"/>
      <c r="AB84" s="4" t="s"/>
      <c r="AC84" s="4" t="s"/>
      <c r="AD84" s="4" t="s"/>
      <c r="AE84" s="4" t="s"/>
      <c r="AF84" s="4" t="s"/>
      <c r="AG84" s="4" t="s"/>
      <c r="AH84" s="4" t="s"/>
      <c r="AI84" s="4" t="s"/>
      <c r="AJ84" s="4" t="s"/>
      <c r="AK84" s="4" t="s"/>
      <c r="AL84" s="4" t="s"/>
      <c r="AM84" s="4" t="s"/>
    </row>
    <row r="85" spans="1:39" ht="15" customHeight="1">
      <c r="A85" s="21" t="s"/>
      <c r="B85" s="21" t="s"/>
      <c r="C85" s="21" t="s"/>
      <c r="D85" s="21" t="s"/>
      <c r="E85" s="21" t="s"/>
      <c r="F85" s="21" t="s"/>
      <c r="G85" s="21" t="s"/>
      <c r="H85" s="21" t="s"/>
      <c r="I85" s="21">
        <v>16</v>
      </c>
      <c r="J85" s="21">
        <v>1.14</v>
      </c>
      <c r="K85" s="21" t="s"/>
      <c r="L85" s="21" t="s"/>
      <c r="M85" s="21" t="s"/>
      <c r="N85" s="21" t="s"/>
      <c r="O85" s="21" t="s"/>
      <c r="P85" s="21" t="s"/>
      <c r="Q85" s="21" t="s"/>
      <c r="R85" s="21" t="s"/>
      <c r="S85" s="21" t="s"/>
      <c r="T85" s="21" t="s"/>
      <c r="U85" s="21" t="s"/>
      <c r="V85" s="21" t="s"/>
      <c r="W85" s="21" t="s"/>
      <c r="X85" s="21" t="s"/>
      <c r="Y85" s="4" t="s"/>
      <c r="Z85" s="4" t="s"/>
      <c r="AA85" s="4" t="s"/>
      <c r="AB85" s="4" t="s"/>
      <c r="AC85" s="4" t="s"/>
      <c r="AD85" s="4" t="s"/>
      <c r="AE85" s="4" t="s"/>
      <c r="AF85" s="4" t="s"/>
      <c r="AG85" s="4" t="s"/>
      <c r="AH85" s="4" t="s"/>
      <c r="AI85" s="4" t="s"/>
      <c r="AJ85" s="4" t="s"/>
      <c r="AK85" s="4" t="s"/>
      <c r="AL85" s="4" t="s"/>
      <c r="AM85" s="4" t="s"/>
    </row>
    <row r="86" spans="1:39" ht="15" customHeight="1">
      <c r="A86" s="21" t="s"/>
      <c r="B86" s="21" t="s"/>
      <c r="C86" s="21" t="s"/>
      <c r="D86" s="21" t="s"/>
      <c r="E86" s="21" t="s"/>
      <c r="F86" s="21" t="s"/>
      <c r="G86" s="21" t="s"/>
      <c r="H86" s="21" t="s"/>
      <c r="I86" s="21">
        <v>17</v>
      </c>
      <c r="J86" s="21">
        <v>1.13</v>
      </c>
      <c r="K86" s="21" t="s"/>
      <c r="L86" s="21" t="s"/>
      <c r="M86" s="21" t="s"/>
      <c r="N86" s="21" t="s"/>
      <c r="O86" s="21" t="s"/>
      <c r="P86" s="21" t="s"/>
      <c r="Q86" s="21" t="s"/>
      <c r="R86" s="21" t="s"/>
      <c r="S86" s="21" t="s"/>
      <c r="T86" s="21" t="s"/>
      <c r="U86" s="21" t="s"/>
      <c r="V86" s="21" t="s"/>
      <c r="W86" s="21" t="s"/>
      <c r="X86" s="21" t="s"/>
      <c r="Y86" s="4" t="s"/>
      <c r="Z86" s="4" t="s"/>
      <c r="AA86" s="4" t="s"/>
      <c r="AB86" s="4" t="s"/>
      <c r="AC86" s="4" t="s"/>
      <c r="AD86" s="4" t="s"/>
      <c r="AE86" s="4" t="s"/>
      <c r="AF86" s="4" t="s"/>
      <c r="AG86" s="4" t="s"/>
      <c r="AH86" s="4" t="s"/>
      <c r="AI86" s="4" t="s"/>
      <c r="AJ86" s="4" t="s"/>
      <c r="AK86" s="4" t="s"/>
      <c r="AL86" s="4" t="s"/>
      <c r="AM86" s="4" t="s"/>
    </row>
    <row r="87" spans="1:39" ht="15" customHeight="1">
      <c r="A87" s="21" t="s"/>
      <c r="B87" s="21" t="s"/>
      <c r="C87" s="21" t="s"/>
      <c r="D87" s="21" t="s"/>
      <c r="E87" s="21" t="s"/>
      <c r="F87" s="21" t="s"/>
      <c r="G87" s="21" t="s"/>
      <c r="H87" s="21" t="s"/>
      <c r="I87" s="21">
        <v>18</v>
      </c>
      <c r="J87" s="21">
        <v>1.12</v>
      </c>
      <c r="K87" s="21" t="s"/>
      <c r="L87" s="21" t="s"/>
      <c r="M87" s="21" t="s"/>
      <c r="N87" s="21" t="s"/>
      <c r="O87" s="21" t="s"/>
      <c r="P87" s="21" t="s"/>
      <c r="Q87" s="21" t="s"/>
      <c r="R87" s="21" t="s"/>
      <c r="S87" s="21" t="s"/>
      <c r="T87" s="21" t="s"/>
      <c r="U87" s="21" t="s"/>
      <c r="V87" s="21" t="s"/>
      <c r="W87" s="21" t="s"/>
      <c r="X87" s="21" t="s"/>
      <c r="Y87" s="4" t="s"/>
      <c r="Z87" s="4" t="s"/>
      <c r="AA87" s="4" t="s"/>
      <c r="AB87" s="4" t="s"/>
      <c r="AC87" s="4" t="s"/>
      <c r="AD87" s="4" t="s"/>
      <c r="AE87" s="4" t="s"/>
      <c r="AF87" s="4" t="s"/>
      <c r="AG87" s="4" t="s"/>
      <c r="AH87" s="4" t="s"/>
      <c r="AI87" s="4" t="s"/>
      <c r="AJ87" s="4" t="s"/>
      <c r="AK87" s="4" t="s"/>
      <c r="AL87" s="4" t="s"/>
      <c r="AM87" s="4" t="s"/>
    </row>
    <row r="88" spans="1:39" ht="15" customHeight="1">
      <c r="A88" s="21" t="s"/>
      <c r="B88" s="21" t="s"/>
      <c r="C88" s="21" t="s"/>
      <c r="D88" s="21" t="s"/>
      <c r="E88" s="21" t="s"/>
      <c r="F88" s="21" t="s"/>
      <c r="G88" s="21" t="s"/>
      <c r="H88" s="21" t="s"/>
      <c r="I88" s="21">
        <v>19</v>
      </c>
      <c r="J88" s="21">
        <v>1.11</v>
      </c>
      <c r="K88" s="21" t="s"/>
      <c r="L88" s="21" t="s"/>
      <c r="M88" s="21" t="s"/>
      <c r="N88" s="21" t="s"/>
      <c r="O88" s="21" t="s"/>
      <c r="P88" s="21" t="s"/>
      <c r="Q88" s="21" t="s"/>
      <c r="R88" s="21" t="s"/>
      <c r="S88" s="21" t="s"/>
      <c r="T88" s="21" t="s"/>
      <c r="U88" s="21" t="s"/>
      <c r="V88" s="21" t="s"/>
      <c r="W88" s="21" t="s"/>
      <c r="X88" s="21" t="s"/>
      <c r="Y88" s="4" t="s"/>
      <c r="Z88" s="4" t="s"/>
      <c r="AA88" s="4" t="s"/>
      <c r="AB88" s="4" t="s"/>
      <c r="AC88" s="4" t="s"/>
      <c r="AD88" s="4" t="s"/>
      <c r="AE88" s="4" t="s"/>
      <c r="AF88" s="4" t="s"/>
      <c r="AG88" s="4" t="s"/>
      <c r="AH88" s="4" t="s"/>
      <c r="AI88" s="4" t="s"/>
      <c r="AJ88" s="4" t="s"/>
      <c r="AK88" s="4" t="s"/>
      <c r="AL88" s="4" t="s"/>
      <c r="AM88" s="4" t="s"/>
    </row>
    <row r="89" spans="1:39" ht="15" customHeight="1">
      <c r="A89" s="21" t="s"/>
      <c r="B89" s="21" t="s"/>
      <c r="C89" s="21" t="s"/>
      <c r="D89" s="21" t="s"/>
      <c r="E89" s="21" t="s"/>
      <c r="F89" s="21" t="s"/>
      <c r="G89" s="21" t="s"/>
      <c r="H89" s="21" t="s"/>
      <c r="I89" s="21">
        <v>20</v>
      </c>
      <c r="J89" s="21">
        <v>1.1</v>
      </c>
      <c r="K89" s="21" t="s"/>
      <c r="L89" s="21" t="s"/>
      <c r="M89" s="21" t="s"/>
      <c r="N89" s="21" t="s"/>
      <c r="O89" s="21" t="s"/>
      <c r="P89" s="21" t="s"/>
      <c r="Q89" s="21" t="s"/>
      <c r="R89" s="21" t="s"/>
      <c r="S89" s="21" t="s"/>
      <c r="T89" s="21" t="s"/>
      <c r="U89" s="21" t="s"/>
      <c r="V89" s="21" t="s"/>
      <c r="W89" s="21" t="s"/>
      <c r="X89" s="21" t="s"/>
      <c r="Y89" s="4" t="s"/>
      <c r="Z89" s="4" t="s"/>
      <c r="AA89" s="4" t="s"/>
      <c r="AB89" s="4" t="s"/>
      <c r="AC89" s="4" t="s"/>
      <c r="AD89" s="4" t="s"/>
      <c r="AE89" s="4" t="s"/>
      <c r="AF89" s="4" t="s"/>
      <c r="AG89" s="4" t="s"/>
      <c r="AH89" s="4" t="s"/>
      <c r="AI89" s="4" t="s"/>
      <c r="AJ89" s="4" t="s"/>
      <c r="AK89" s="4" t="s"/>
      <c r="AL89" s="4" t="s"/>
      <c r="AM89" s="4" t="s"/>
    </row>
    <row r="90" spans="1:39" ht="15" customHeight="1">
      <c r="A90" s="21" t="s"/>
      <c r="B90" s="21" t="s"/>
      <c r="C90" s="21" t="s"/>
      <c r="D90" s="21" t="s"/>
      <c r="E90" s="21" t="s"/>
      <c r="F90" s="21" t="s"/>
      <c r="G90" s="21" t="s"/>
      <c r="H90" s="21" t="s"/>
      <c r="I90" s="21">
        <v>21</v>
      </c>
      <c r="J90" s="21">
        <v>1.09</v>
      </c>
      <c r="K90" s="21" t="s"/>
      <c r="L90" s="21" t="s"/>
      <c r="M90" s="21" t="s"/>
      <c r="N90" s="21" t="s"/>
      <c r="O90" s="21" t="s"/>
      <c r="P90" s="21" t="s"/>
      <c r="Q90" s="21" t="s"/>
      <c r="R90" s="21" t="s"/>
      <c r="S90" s="21" t="s"/>
      <c r="T90" s="21" t="s"/>
      <c r="U90" s="21" t="s"/>
      <c r="V90" s="21" t="s"/>
      <c r="W90" s="21" t="s"/>
      <c r="X90" s="21" t="s"/>
      <c r="Y90" s="4" t="s"/>
      <c r="Z90" s="4" t="s"/>
      <c r="AA90" s="4" t="s"/>
      <c r="AB90" s="4" t="s"/>
      <c r="AC90" s="4" t="s"/>
      <c r="AD90" s="4" t="s"/>
      <c r="AE90" s="4" t="s"/>
      <c r="AF90" s="4" t="s"/>
      <c r="AG90" s="4" t="s"/>
      <c r="AH90" s="4" t="s"/>
      <c r="AI90" s="4" t="s"/>
      <c r="AJ90" s="4" t="s"/>
      <c r="AK90" s="4" t="s"/>
      <c r="AL90" s="4" t="s"/>
      <c r="AM90" s="4" t="s"/>
    </row>
    <row r="91" spans="1:39" ht="15" customHeight="1">
      <c r="A91" s="21" t="s"/>
      <c r="B91" s="21" t="s"/>
      <c r="C91" s="21" t="s"/>
      <c r="D91" s="21" t="s"/>
      <c r="E91" s="21" t="s"/>
      <c r="F91" s="21" t="s"/>
      <c r="G91" s="21" t="s"/>
      <c r="H91" s="21" t="s"/>
      <c r="I91" s="21">
        <v>22</v>
      </c>
      <c r="J91" s="21">
        <v>1.08</v>
      </c>
      <c r="K91" s="21" t="s"/>
      <c r="L91" s="21" t="s"/>
      <c r="M91" s="21" t="s"/>
      <c r="N91" s="21" t="s"/>
      <c r="O91" s="21" t="s"/>
      <c r="P91" s="21" t="s"/>
      <c r="Q91" s="21" t="s"/>
      <c r="R91" s="21" t="s"/>
      <c r="S91" s="21" t="s"/>
      <c r="T91" s="21" t="s"/>
      <c r="U91" s="21" t="s"/>
      <c r="V91" s="21" t="s"/>
      <c r="W91" s="21" t="s"/>
      <c r="X91" s="21" t="s"/>
      <c r="Y91" s="4" t="s"/>
      <c r="Z91" s="4" t="s"/>
      <c r="AA91" s="4" t="s"/>
      <c r="AB91" s="4" t="s"/>
      <c r="AC91" s="4" t="s"/>
      <c r="AD91" s="4" t="s"/>
      <c r="AE91" s="4" t="s"/>
      <c r="AF91" s="4" t="s"/>
      <c r="AG91" s="4" t="s"/>
      <c r="AH91" s="4" t="s"/>
      <c r="AI91" s="4" t="s"/>
      <c r="AJ91" s="4" t="s"/>
      <c r="AK91" s="4" t="s"/>
      <c r="AL91" s="4" t="s"/>
      <c r="AM91" s="4" t="s"/>
    </row>
    <row r="92" spans="1:39" ht="15" customHeight="1">
      <c r="A92" s="21" t="s"/>
      <c r="B92" s="21" t="s"/>
      <c r="C92" s="21" t="s"/>
      <c r="D92" s="21" t="s"/>
      <c r="E92" s="21" t="s"/>
      <c r="F92" s="21" t="s"/>
      <c r="G92" s="21" t="s"/>
      <c r="H92" s="21" t="s"/>
      <c r="I92" s="21">
        <v>23</v>
      </c>
      <c r="J92" s="21">
        <v>1.07</v>
      </c>
      <c r="K92" s="21" t="s"/>
      <c r="L92" s="21" t="s"/>
      <c r="M92" s="21" t="s"/>
      <c r="N92" s="21" t="s"/>
      <c r="O92" s="21" t="s"/>
      <c r="P92" s="21" t="s"/>
      <c r="Q92" s="21" t="s"/>
      <c r="R92" s="21" t="s"/>
      <c r="S92" s="21" t="s"/>
      <c r="T92" s="21" t="s"/>
      <c r="U92" s="21" t="s"/>
      <c r="V92" s="21" t="s"/>
      <c r="W92" s="21" t="s"/>
      <c r="X92" s="21" t="s"/>
      <c r="Y92" s="4" t="s"/>
      <c r="Z92" s="4" t="s"/>
      <c r="AA92" s="4" t="s"/>
      <c r="AB92" s="4" t="s"/>
      <c r="AC92" s="4" t="s"/>
      <c r="AD92" s="4" t="s"/>
      <c r="AE92" s="4" t="s"/>
      <c r="AF92" s="4" t="s"/>
      <c r="AG92" s="4" t="s"/>
      <c r="AH92" s="4" t="s"/>
      <c r="AI92" s="4" t="s"/>
      <c r="AJ92" s="4" t="s"/>
      <c r="AK92" s="4" t="s"/>
      <c r="AL92" s="4" t="s"/>
      <c r="AM92" s="4" t="s"/>
    </row>
    <row r="93" spans="1:39" ht="15" customHeight="1">
      <c r="A93" s="21" t="s"/>
      <c r="B93" s="21" t="s"/>
      <c r="C93" s="21" t="s"/>
      <c r="D93" s="21" t="s"/>
      <c r="E93" s="21" t="s"/>
      <c r="F93" s="21" t="s"/>
      <c r="G93" s="21" t="s"/>
      <c r="H93" s="21" t="s"/>
      <c r="I93" s="21">
        <v>24</v>
      </c>
      <c r="J93" s="21">
        <v>1.06</v>
      </c>
      <c r="K93" s="21" t="s"/>
      <c r="L93" s="21" t="s"/>
      <c r="M93" s="21" t="s"/>
      <c r="N93" s="21" t="s"/>
      <c r="O93" s="21" t="s"/>
      <c r="P93" s="21" t="s"/>
      <c r="Q93" s="21" t="s"/>
      <c r="R93" s="21" t="s"/>
      <c r="S93" s="21" t="s"/>
      <c r="T93" s="21" t="s"/>
      <c r="U93" s="21" t="s"/>
      <c r="V93" s="21" t="s"/>
      <c r="W93" s="21" t="s"/>
      <c r="X93" s="21" t="s"/>
      <c r="Y93" s="4" t="s"/>
      <c r="Z93" s="4" t="s"/>
      <c r="AA93" s="4" t="s"/>
      <c r="AB93" s="4" t="s"/>
      <c r="AC93" s="4" t="s"/>
      <c r="AD93" s="4" t="s"/>
      <c r="AE93" s="4" t="s"/>
      <c r="AF93" s="4" t="s"/>
      <c r="AG93" s="4" t="s"/>
      <c r="AH93" s="4" t="s"/>
      <c r="AI93" s="4" t="s"/>
      <c r="AJ93" s="4" t="s"/>
      <c r="AK93" s="4" t="s"/>
      <c r="AL93" s="4" t="s"/>
      <c r="AM93" s="4" t="s"/>
    </row>
    <row r="94" spans="1:39" ht="15" customHeight="1">
      <c r="A94" s="21" t="s"/>
      <c r="B94" s="21" t="s"/>
      <c r="C94" s="21" t="s"/>
      <c r="D94" s="21" t="s"/>
      <c r="E94" s="21" t="s"/>
      <c r="F94" s="21" t="s"/>
      <c r="G94" s="21" t="s"/>
      <c r="H94" s="21" t="s"/>
      <c r="I94" s="21" t="s"/>
      <c r="J94" s="21" t="s"/>
      <c r="K94" s="21" t="s"/>
      <c r="L94" s="21" t="s"/>
      <c r="M94" s="21" t="s"/>
      <c r="N94" s="21" t="s"/>
      <c r="O94" s="21" t="s"/>
      <c r="P94" s="21" t="s"/>
      <c r="Q94" s="21" t="s"/>
      <c r="R94" s="21" t="s"/>
      <c r="S94" s="21" t="s"/>
      <c r="T94" s="21" t="s"/>
      <c r="U94" s="21" t="s"/>
      <c r="V94" s="21" t="s"/>
      <c r="W94" s="21" t="s"/>
      <c r="X94" s="21" t="s"/>
      <c r="Y94" s="4" t="s"/>
      <c r="Z94" s="4" t="s"/>
      <c r="AA94" s="4" t="s"/>
      <c r="AB94" s="4" t="s"/>
      <c r="AC94" s="4" t="s"/>
      <c r="AD94" s="4" t="s"/>
      <c r="AE94" s="4" t="s"/>
      <c r="AF94" s="4" t="s"/>
      <c r="AG94" s="4" t="s"/>
      <c r="AH94" s="4" t="s"/>
      <c r="AI94" s="4" t="s"/>
      <c r="AJ94" s="4" t="s"/>
      <c r="AK94" s="4" t="s"/>
      <c r="AL94" s="4" t="s"/>
      <c r="AM94" s="4" t="s"/>
    </row>
    <row r="95" spans="1:39" ht="15" customHeight="1">
      <c r="A95" s="21" t="s"/>
      <c r="B95" s="21" t="s"/>
      <c r="C95" s="21" t="s"/>
      <c r="D95" s="21" t="s"/>
      <c r="E95" s="21" t="s"/>
      <c r="F95" s="21" t="s"/>
      <c r="G95" s="21" t="s"/>
      <c r="H95" s="21" t="s"/>
      <c r="I95" s="21" t="s"/>
      <c r="J95" s="21" t="s"/>
      <c r="K95" s="21" t="s"/>
      <c r="L95" s="21" t="s"/>
      <c r="M95" s="21" t="s"/>
      <c r="N95" s="21" t="s"/>
      <c r="O95" s="21" t="s"/>
      <c r="P95" s="21" t="s"/>
      <c r="Q95" s="21" t="s"/>
      <c r="R95" s="21" t="s"/>
      <c r="S95" s="21" t="s"/>
      <c r="T95" s="21" t="s"/>
      <c r="U95" s="21" t="s"/>
      <c r="V95" s="21" t="s"/>
      <c r="W95" s="21" t="s"/>
      <c r="X95" s="21" t="s"/>
      <c r="Y95" s="4" t="s"/>
      <c r="Z95" s="4" t="s"/>
      <c r="AA95" s="4" t="s"/>
      <c r="AB95" s="4" t="s"/>
      <c r="AC95" s="4" t="s"/>
      <c r="AD95" s="4" t="s"/>
      <c r="AE95" s="4" t="s"/>
      <c r="AF95" s="4" t="s"/>
      <c r="AG95" s="4" t="s"/>
      <c r="AH95" s="4" t="s"/>
      <c r="AI95" s="4" t="s"/>
      <c r="AJ95" s="4" t="s"/>
      <c r="AK95" s="4" t="s"/>
      <c r="AL95" s="4" t="s"/>
      <c r="AM95" s="4" t="s"/>
    </row>
    <row r="96" spans="1:39" ht="15" customHeight="1">
      <c r="A96" s="21" t="s"/>
      <c r="B96" s="21" t="s"/>
      <c r="C96" s="21" t="s"/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1" t="s"/>
      <c r="Q96" s="21" t="s"/>
      <c r="R96" s="21" t="s"/>
      <c r="S96" s="21" t="s"/>
      <c r="T96" s="21" t="s"/>
      <c r="U96" s="21" t="s"/>
      <c r="V96" s="21" t="s"/>
      <c r="W96" s="21" t="s"/>
      <c r="X96" s="21" t="s"/>
      <c r="Y96" s="4" t="s"/>
      <c r="Z96" s="4" t="s"/>
      <c r="AA96" s="4" t="s"/>
      <c r="AB96" s="4" t="s"/>
      <c r="AC96" s="4" t="s"/>
      <c r="AD96" s="4" t="s"/>
      <c r="AE96" s="4" t="s"/>
      <c r="AF96" s="4" t="s"/>
      <c r="AG96" s="4" t="s"/>
      <c r="AH96" s="4" t="s"/>
      <c r="AI96" s="4" t="s"/>
      <c r="AJ96" s="4" t="s"/>
      <c r="AK96" s="4" t="s"/>
      <c r="AL96" s="4" t="s"/>
      <c r="AM96" s="4" t="s"/>
    </row>
    <row r="97" spans="1:39" ht="15" customHeight="1">
      <c r="A97" s="21" t="s"/>
      <c r="B97" s="21" t="s"/>
      <c r="C97" s="21" t="s"/>
      <c r="D97" s="21" t="s"/>
      <c r="E97" s="21" t="s"/>
      <c r="F97" s="21" t="s"/>
      <c r="G97" s="21" t="s"/>
      <c r="H97" s="21" t="s"/>
      <c r="I97" s="21" t="s"/>
      <c r="J97" s="21" t="s"/>
      <c r="K97" s="21" t="s"/>
      <c r="L97" s="21" t="s"/>
      <c r="M97" s="21" t="s"/>
      <c r="N97" s="21" t="s"/>
      <c r="O97" s="21" t="s"/>
      <c r="P97" s="21" t="s"/>
      <c r="Q97" s="21" t="s"/>
      <c r="R97" s="21" t="s"/>
      <c r="S97" s="21" t="s"/>
      <c r="T97" s="21" t="s"/>
      <c r="U97" s="21" t="s"/>
      <c r="V97" s="21" t="s"/>
      <c r="W97" s="21" t="s"/>
      <c r="X97" s="21" t="s"/>
      <c r="Y97" s="4" t="s"/>
      <c r="Z97" s="4" t="s"/>
      <c r="AA97" s="4" t="s"/>
      <c r="AB97" s="4" t="s"/>
      <c r="AC97" s="4" t="s"/>
      <c r="AD97" s="4" t="s"/>
      <c r="AE97" s="4" t="s"/>
      <c r="AF97" s="4" t="s"/>
      <c r="AG97" s="4" t="s"/>
      <c r="AH97" s="4" t="s"/>
      <c r="AI97" s="4" t="s"/>
      <c r="AJ97" s="4" t="s"/>
      <c r="AK97" s="4" t="s"/>
      <c r="AL97" s="4" t="s"/>
      <c r="AM97" s="4" t="s"/>
    </row>
    <row r="98" spans="1:39" ht="15" customHeight="1">
      <c r="A98" s="21" t="s"/>
      <c r="B98" s="21" t="s"/>
      <c r="C98" s="21" t="s"/>
      <c r="D98" s="21" t="s"/>
      <c r="E98" s="21" t="s"/>
      <c r="F98" s="21" t="s"/>
      <c r="G98" s="21" t="s"/>
      <c r="H98" s="21" t="s"/>
      <c r="I98" s="21" t="s"/>
      <c r="J98" s="21" t="s"/>
      <c r="K98" s="21" t="s"/>
      <c r="L98" s="21" t="s"/>
      <c r="M98" s="21" t="s"/>
      <c r="N98" s="21" t="s"/>
      <c r="O98" s="21" t="s"/>
      <c r="P98" s="21" t="s"/>
      <c r="Q98" s="21" t="s"/>
      <c r="R98" s="21" t="s"/>
      <c r="S98" s="21" t="s"/>
      <c r="T98" s="21" t="s"/>
      <c r="U98" s="21" t="s"/>
      <c r="V98" s="21" t="s"/>
      <c r="W98" s="21" t="s"/>
      <c r="X98" s="21" t="s"/>
      <c r="Y98" s="4" t="s"/>
      <c r="Z98" s="4" t="s"/>
      <c r="AA98" s="4" t="s"/>
      <c r="AB98" s="4" t="s"/>
      <c r="AC98" s="4" t="s"/>
      <c r="AD98" s="4" t="s"/>
      <c r="AE98" s="4" t="s"/>
      <c r="AF98" s="4" t="s"/>
      <c r="AG98" s="4" t="s"/>
      <c r="AH98" s="4" t="s"/>
      <c r="AI98" s="4" t="s"/>
      <c r="AJ98" s="4" t="s"/>
      <c r="AK98" s="4" t="s"/>
      <c r="AL98" s="4" t="s"/>
      <c r="AM98" s="4" t="s"/>
    </row>
    <row r="99" spans="1:39" ht="15" customHeight="1">
      <c r="A99" s="21" t="s"/>
      <c r="B99" s="21" t="s"/>
      <c r="C99" s="21" t="s"/>
      <c r="D99" s="21" t="s"/>
      <c r="E99" s="21" t="s"/>
      <c r="F99" s="21" t="s"/>
      <c r="G99" s="21" t="s"/>
      <c r="H99" s="21" t="s"/>
      <c r="I99" s="21" t="s"/>
      <c r="J99" s="21" t="s"/>
      <c r="K99" s="21" t="s"/>
      <c r="L99" s="21" t="s"/>
      <c r="M99" s="21" t="s"/>
      <c r="N99" s="21" t="s"/>
      <c r="O99" s="21" t="s"/>
      <c r="P99" s="21" t="s"/>
      <c r="Q99" s="21" t="s"/>
      <c r="R99" s="21" t="s"/>
      <c r="S99" s="21" t="s"/>
      <c r="T99" s="21" t="s"/>
      <c r="U99" s="21" t="s"/>
      <c r="V99" s="21" t="s"/>
      <c r="W99" s="21" t="s"/>
      <c r="X99" s="21" t="s"/>
      <c r="Y99" s="4" t="s"/>
      <c r="Z99" s="4" t="s"/>
      <c r="AA99" s="4" t="s"/>
      <c r="AB99" s="4" t="s"/>
      <c r="AC99" s="4" t="s"/>
      <c r="AD99" s="4" t="s"/>
      <c r="AE99" s="4" t="s"/>
      <c r="AF99" s="4" t="s"/>
      <c r="AG99" s="4" t="s"/>
      <c r="AH99" s="4" t="s"/>
      <c r="AI99" s="4" t="s"/>
      <c r="AJ99" s="4" t="s"/>
      <c r="AK99" s="4" t="s"/>
      <c r="AL99" s="4" t="s"/>
      <c r="AM99" s="4" t="s"/>
    </row>
    <row r="100" spans="1:39" ht="15" customHeight="1">
      <c r="A100" s="21" t="s"/>
      <c r="B100" s="21" t="s"/>
      <c r="C100" s="21" t="s"/>
      <c r="D100" s="21" t="s"/>
      <c r="E100" s="21" t="s"/>
      <c r="F100" s="21" t="s"/>
      <c r="G100" s="21" t="s"/>
      <c r="H100" s="21" t="s"/>
      <c r="I100" s="21" t="s"/>
      <c r="J100" s="21" t="s"/>
      <c r="K100" s="21" t="s"/>
      <c r="L100" s="21" t="s"/>
      <c r="M100" s="21" t="s"/>
      <c r="N100" s="21" t="s"/>
      <c r="O100" s="21" t="s"/>
      <c r="P100" s="21" t="s"/>
      <c r="Q100" s="21" t="s"/>
      <c r="R100" s="21" t="s"/>
      <c r="S100" s="21" t="s"/>
      <c r="T100" s="21" t="s"/>
      <c r="U100" s="21" t="s"/>
      <c r="V100" s="21" t="s"/>
      <c r="W100" s="21" t="s"/>
      <c r="X100" s="21" t="s"/>
      <c r="Y100" s="4" t="s"/>
      <c r="Z100" s="4" t="s"/>
      <c r="AA100" s="4" t="s"/>
      <c r="AB100" s="4" t="s"/>
      <c r="AC100" s="4" t="s"/>
      <c r="AD100" s="4" t="s"/>
      <c r="AE100" s="4" t="s"/>
      <c r="AF100" s="4" t="s"/>
      <c r="AG100" s="4" t="s"/>
      <c r="AH100" s="4" t="s"/>
      <c r="AI100" s="4" t="s"/>
      <c r="AJ100" s="4" t="s"/>
      <c r="AK100" s="4" t="s"/>
      <c r="AL100" s="4" t="s"/>
      <c r="AM100" s="4" t="s"/>
    </row>
    <row r="101" spans="1:39" ht="15" customHeight="1">
      <c r="A101" s="21" t="s"/>
      <c r="B101" s="21" t="s"/>
      <c r="C101" s="21" t="s"/>
      <c r="D101" s="21" t="s"/>
      <c r="E101" s="21" t="s"/>
      <c r="F101" s="21" t="s"/>
      <c r="G101" s="21" t="s"/>
      <c r="H101" s="21" t="s"/>
      <c r="I101" s="21" t="s"/>
      <c r="J101" s="21" t="s"/>
      <c r="K101" s="21" t="s"/>
      <c r="L101" s="21" t="s"/>
      <c r="M101" s="21" t="s"/>
      <c r="N101" s="21" t="s"/>
      <c r="O101" s="21" t="s"/>
      <c r="P101" s="21" t="s"/>
      <c r="Q101" s="21" t="s"/>
      <c r="R101" s="21" t="s"/>
      <c r="S101" s="21" t="s"/>
      <c r="T101" s="21" t="s"/>
      <c r="U101" s="21" t="s"/>
      <c r="V101" s="21" t="s"/>
      <c r="W101" s="21" t="s"/>
      <c r="X101" s="21" t="s"/>
      <c r="Y101" s="4" t="s"/>
      <c r="Z101" s="4" t="s"/>
      <c r="AA101" s="4" t="s"/>
      <c r="AB101" s="4" t="s"/>
      <c r="AC101" s="4" t="s"/>
      <c r="AD101" s="4" t="s"/>
      <c r="AE101" s="4" t="s"/>
      <c r="AF101" s="4" t="s"/>
      <c r="AG101" s="4" t="s"/>
      <c r="AH101" s="4" t="s"/>
      <c r="AI101" s="4" t="s"/>
      <c r="AJ101" s="4" t="s"/>
      <c r="AK101" s="4" t="s"/>
      <c r="AL101" s="4" t="s"/>
      <c r="AM101" s="4" t="s"/>
    </row>
    <row r="102" spans="1:39" ht="15" customHeight="1">
      <c r="A102" s="21" t="s"/>
      <c r="B102" s="21" t="s"/>
      <c r="C102" s="21" t="s"/>
      <c r="D102" s="21" t="s"/>
      <c r="E102" s="21" t="s"/>
      <c r="F102" s="21" t="s"/>
      <c r="G102" s="21" t="s"/>
      <c r="H102" s="21" t="s"/>
      <c r="I102" s="21" t="s"/>
      <c r="J102" s="21" t="s"/>
      <c r="K102" s="21" t="s"/>
      <c r="L102" s="21" t="s"/>
      <c r="M102" s="21" t="s"/>
      <c r="N102" s="21" t="s"/>
      <c r="O102" s="21" t="s"/>
      <c r="P102" s="21" t="s"/>
      <c r="Q102" s="21" t="s"/>
      <c r="R102" s="21" t="s"/>
      <c r="S102" s="21" t="s"/>
      <c r="T102" s="21" t="s"/>
      <c r="U102" s="21" t="s"/>
      <c r="V102" s="21" t="s"/>
      <c r="W102" s="21" t="s"/>
      <c r="X102" s="21" t="s"/>
      <c r="Y102" s="4" t="s"/>
      <c r="Z102" s="4" t="s"/>
      <c r="AA102" s="4" t="s"/>
      <c r="AB102" s="4" t="s"/>
      <c r="AC102" s="4" t="s"/>
      <c r="AD102" s="4" t="s"/>
      <c r="AE102" s="4" t="s"/>
      <c r="AF102" s="4" t="s"/>
      <c r="AG102" s="4" t="s"/>
      <c r="AH102" s="4" t="s"/>
      <c r="AI102" s="4" t="s"/>
      <c r="AJ102" s="4" t="s"/>
      <c r="AK102" s="4" t="s"/>
      <c r="AL102" s="4" t="s"/>
      <c r="AM102" s="4" t="s"/>
    </row>
    <row r="103" spans="1:39" ht="15" customHeight="1">
      <c r="A103" s="21" t="s"/>
      <c r="B103" s="21" t="s"/>
      <c r="C103" s="21" t="s"/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1" t="s"/>
      <c r="Q103" s="21" t="s"/>
      <c r="R103" s="21" t="s"/>
      <c r="S103" s="21" t="s"/>
      <c r="T103" s="21" t="s"/>
      <c r="U103" s="21" t="s"/>
      <c r="V103" s="21" t="s"/>
      <c r="W103" s="21" t="s"/>
      <c r="X103" s="21" t="s"/>
      <c r="Y103" s="4" t="s"/>
      <c r="Z103" s="4" t="s"/>
      <c r="AA103" s="4" t="s"/>
      <c r="AB103" s="4" t="s"/>
      <c r="AC103" s="4" t="s"/>
      <c r="AD103" s="4" t="s"/>
      <c r="AE103" s="4" t="s"/>
      <c r="AF103" s="4" t="s"/>
      <c r="AG103" s="4" t="s"/>
      <c r="AH103" s="4" t="s"/>
      <c r="AI103" s="4" t="s"/>
      <c r="AJ103" s="4" t="s"/>
      <c r="AK103" s="4" t="s"/>
      <c r="AL103" s="4" t="s"/>
      <c r="AM103" s="4" t="s"/>
    </row>
    <row r="104" spans="1:39" ht="15" customHeight="1">
      <c r="A104" s="21" t="s"/>
      <c r="B104" s="21" t="s"/>
      <c r="C104" s="21" t="s"/>
      <c r="D104" s="21" t="s"/>
      <c r="E104" s="21" t="s"/>
      <c r="F104" s="21" t="s"/>
      <c r="G104" s="21" t="s"/>
      <c r="H104" s="21" t="s"/>
      <c r="I104" s="21" t="s"/>
      <c r="J104" s="21" t="s"/>
      <c r="K104" s="21" t="s"/>
      <c r="L104" s="21" t="s"/>
      <c r="M104" s="21" t="s"/>
      <c r="N104" s="21" t="s"/>
      <c r="O104" s="21" t="s"/>
      <c r="P104" s="21" t="s"/>
      <c r="Q104" s="21" t="s"/>
      <c r="R104" s="21" t="s"/>
      <c r="S104" s="21" t="s"/>
      <c r="T104" s="21" t="s"/>
      <c r="U104" s="21" t="s"/>
      <c r="V104" s="21" t="s"/>
      <c r="W104" s="21" t="s"/>
      <c r="X104" s="21" t="s"/>
      <c r="Y104" s="4" t="s"/>
      <c r="Z104" s="4" t="s"/>
      <c r="AA104" s="4" t="s"/>
      <c r="AB104" s="4" t="s"/>
      <c r="AC104" s="4" t="s"/>
      <c r="AD104" s="4" t="s"/>
      <c r="AE104" s="4" t="s"/>
      <c r="AF104" s="4" t="s"/>
      <c r="AG104" s="4" t="s"/>
      <c r="AH104" s="4" t="s"/>
      <c r="AI104" s="4" t="s"/>
      <c r="AJ104" s="4" t="s"/>
      <c r="AK104" s="4" t="s"/>
      <c r="AL104" s="4" t="s"/>
      <c r="AM104" s="4" t="s"/>
    </row>
    <row r="105" spans="1:39" ht="15" customHeight="1">
      <c r="A105" s="21" t="s"/>
      <c r="B105" s="21" t="s"/>
      <c r="C105" s="21" t="s"/>
      <c r="D105" s="21" t="s"/>
      <c r="E105" s="21" t="s"/>
      <c r="F105" s="21" t="s"/>
      <c r="G105" s="21" t="s"/>
      <c r="H105" s="21" t="s"/>
      <c r="I105" s="21" t="s"/>
      <c r="J105" s="21" t="s"/>
      <c r="K105" s="21" t="s"/>
      <c r="L105" s="21" t="s"/>
      <c r="M105" s="21" t="s"/>
      <c r="N105" s="21" t="s"/>
      <c r="O105" s="21" t="s"/>
      <c r="P105" s="21" t="s"/>
      <c r="Q105" s="21" t="s"/>
      <c r="R105" s="21" t="s"/>
      <c r="S105" s="21" t="s"/>
      <c r="T105" s="21" t="s"/>
      <c r="U105" s="21" t="s"/>
      <c r="V105" s="21" t="s"/>
      <c r="W105" s="21" t="s"/>
      <c r="X105" s="21" t="s"/>
      <c r="Y105" s="4" t="s"/>
      <c r="Z105" s="4" t="s"/>
      <c r="AA105" s="4" t="s"/>
      <c r="AB105" s="4" t="s"/>
      <c r="AC105" s="4" t="s"/>
      <c r="AD105" s="4" t="s"/>
      <c r="AE105" s="4" t="s"/>
      <c r="AF105" s="4" t="s"/>
      <c r="AG105" s="4" t="s"/>
      <c r="AH105" s="4" t="s"/>
      <c r="AI105" s="4" t="s"/>
      <c r="AJ105" s="4" t="s"/>
      <c r="AK105" s="4" t="s"/>
      <c r="AL105" s="4" t="s"/>
      <c r="AM105" s="4" t="s"/>
    </row>
    <row r="106" spans="1:39" ht="15" customHeight="1">
      <c r="A106" s="21" t="s"/>
      <c r="B106" s="21" t="s"/>
      <c r="C106" s="21" t="s"/>
      <c r="D106" s="21" t="s"/>
      <c r="E106" s="21" t="s"/>
      <c r="F106" s="21" t="s"/>
      <c r="G106" s="21" t="s"/>
      <c r="H106" s="21" t="s"/>
      <c r="I106" s="21" t="s"/>
      <c r="J106" s="21" t="s"/>
      <c r="K106" s="21" t="s"/>
      <c r="L106" s="21" t="s"/>
      <c r="M106" s="21" t="s"/>
      <c r="N106" s="21" t="s"/>
      <c r="O106" s="21" t="s"/>
      <c r="P106" s="21" t="s"/>
      <c r="Q106" s="21" t="s"/>
      <c r="R106" s="21" t="s"/>
      <c r="S106" s="21" t="s"/>
      <c r="T106" s="21" t="s"/>
      <c r="U106" s="21" t="s"/>
      <c r="V106" s="21" t="s"/>
      <c r="W106" s="21" t="s"/>
      <c r="X106" s="21" t="s"/>
      <c r="Y106" s="4" t="s"/>
      <c r="Z106" s="4" t="s"/>
      <c r="AA106" s="4" t="s"/>
      <c r="AB106" s="4" t="s"/>
      <c r="AC106" s="4" t="s"/>
      <c r="AD106" s="4" t="s"/>
      <c r="AE106" s="4" t="s"/>
      <c r="AF106" s="4" t="s"/>
      <c r="AG106" s="4" t="s"/>
      <c r="AH106" s="4" t="s"/>
      <c r="AI106" s="4" t="s"/>
      <c r="AJ106" s="4" t="s"/>
      <c r="AK106" s="4" t="s"/>
      <c r="AL106" s="4" t="s"/>
      <c r="AM106" s="4" t="s"/>
    </row>
    <row r="107" spans="1:39" ht="15" customHeight="1">
      <c r="A107" s="21" t="s"/>
      <c r="B107" s="21" t="s"/>
      <c r="C107" s="21" t="s"/>
      <c r="D107" s="21" t="s"/>
      <c r="E107" s="21" t="s"/>
      <c r="F107" s="21" t="s"/>
      <c r="G107" s="21" t="s"/>
      <c r="H107" s="21" t="s"/>
      <c r="I107" s="21" t="s"/>
      <c r="J107" s="21" t="s"/>
      <c r="K107" s="21" t="s"/>
      <c r="L107" s="21" t="s"/>
      <c r="M107" s="21" t="s"/>
      <c r="N107" s="21" t="s"/>
      <c r="O107" s="21" t="s"/>
      <c r="P107" s="21" t="s"/>
      <c r="Q107" s="21" t="s"/>
      <c r="R107" s="21" t="s"/>
      <c r="S107" s="21" t="s"/>
      <c r="T107" s="21" t="s"/>
      <c r="U107" s="21" t="s"/>
      <c r="V107" s="21" t="s"/>
      <c r="W107" s="21" t="s"/>
      <c r="X107" s="21" t="s"/>
      <c r="Y107" s="4" t="s"/>
      <c r="Z107" s="4" t="s"/>
      <c r="AA107" s="4" t="s"/>
      <c r="AB107" s="4" t="s"/>
      <c r="AC107" s="4" t="s"/>
      <c r="AD107" s="4" t="s"/>
      <c r="AE107" s="4" t="s"/>
      <c r="AF107" s="4" t="s"/>
      <c r="AG107" s="4" t="s"/>
      <c r="AH107" s="4" t="s"/>
      <c r="AI107" s="4" t="s"/>
      <c r="AJ107" s="4" t="s"/>
      <c r="AK107" s="4" t="s"/>
      <c r="AL107" s="4" t="s"/>
      <c r="AM107" s="4" t="s"/>
    </row>
    <row r="108" spans="1:39" ht="15" customHeight="1">
      <c r="A108" s="21" t="s"/>
      <c r="B108" s="21" t="s"/>
      <c r="C108" s="21" t="s"/>
      <c r="D108" s="21" t="s"/>
      <c r="E108" s="21" t="s"/>
      <c r="F108" s="21" t="s"/>
      <c r="G108" s="21" t="s"/>
      <c r="H108" s="21" t="s"/>
      <c r="I108" s="21" t="s"/>
      <c r="J108" s="21" t="s"/>
      <c r="K108" s="21" t="s"/>
      <c r="L108" s="21" t="s"/>
      <c r="M108" s="21" t="s"/>
      <c r="N108" s="21" t="s"/>
      <c r="O108" s="21" t="s"/>
      <c r="P108" s="21" t="s"/>
      <c r="Q108" s="21" t="s"/>
      <c r="R108" s="21" t="s"/>
      <c r="S108" s="21" t="s"/>
      <c r="T108" s="21" t="s"/>
      <c r="U108" s="21" t="s"/>
      <c r="V108" s="21" t="s"/>
      <c r="W108" s="21" t="s"/>
      <c r="X108" s="21" t="s"/>
      <c r="Y108" s="4" t="s"/>
      <c r="Z108" s="4" t="s"/>
      <c r="AA108" s="4" t="s"/>
      <c r="AB108" s="4" t="s"/>
      <c r="AC108" s="4" t="s"/>
      <c r="AD108" s="4" t="s"/>
      <c r="AE108" s="4" t="s"/>
      <c r="AF108" s="4" t="s"/>
      <c r="AG108" s="4" t="s"/>
      <c r="AH108" s="4" t="s"/>
      <c r="AI108" s="4" t="s"/>
      <c r="AJ108" s="4" t="s"/>
      <c r="AK108" s="4" t="s"/>
      <c r="AL108" s="4" t="s"/>
      <c r="AM108" s="4" t="s"/>
    </row>
    <row r="109" spans="1:24">
      <c r="A109" s="143" t="s"/>
      <c r="B109" s="143" t="s"/>
      <c r="C109" s="143" t="s"/>
      <c r="D109" s="143" t="s"/>
      <c r="E109" s="143" t="s"/>
      <c r="F109" s="143" t="s"/>
      <c r="G109" s="143" t="s"/>
      <c r="H109" s="143" t="s"/>
      <c r="I109" s="143" t="s"/>
      <c r="J109" s="143" t="s"/>
      <c r="K109" s="143" t="s"/>
      <c r="L109" s="143" t="s"/>
      <c r="M109" s="143" t="s"/>
      <c r="N109" s="143" t="s"/>
      <c r="O109" s="143" t="s"/>
      <c r="P109" s="143" t="s"/>
      <c r="Q109" s="143" t="s"/>
      <c r="R109" s="143" t="s"/>
      <c r="S109" s="143" t="s"/>
      <c r="T109" s="143" t="s"/>
      <c r="U109" s="143" t="s"/>
      <c r="V109" s="143" t="s"/>
      <c r="W109" s="143" t="s"/>
      <c r="X109" s="143" t="s"/>
    </row>
    <row r="110" spans="1:24">
      <c r="A110" s="143" t="s"/>
      <c r="B110" s="143" t="s"/>
      <c r="C110" s="143" t="s"/>
      <c r="D110" s="143" t="s"/>
      <c r="E110" s="143" t="s"/>
      <c r="F110" s="143" t="s"/>
      <c r="G110" s="143" t="s"/>
      <c r="H110" s="143" t="s"/>
      <c r="I110" s="143" t="s"/>
      <c r="J110" s="143" t="s"/>
      <c r="K110" s="143" t="s"/>
      <c r="L110" s="143" t="s"/>
      <c r="M110" s="143" t="s"/>
      <c r="N110" s="143" t="s"/>
      <c r="O110" s="143" t="s"/>
      <c r="P110" s="143" t="s"/>
      <c r="Q110" s="143" t="s"/>
      <c r="R110" s="143" t="s"/>
      <c r="S110" s="143" t="s"/>
      <c r="T110" s="143" t="s"/>
      <c r="U110" s="143" t="s"/>
      <c r="V110" s="143" t="s"/>
      <c r="W110" s="143" t="s"/>
      <c r="X110" s="143" t="s"/>
    </row>
    <row r="111" spans="1:24">
      <c r="A111" s="143" t="s"/>
      <c r="B111" s="143" t="s"/>
      <c r="C111" s="143" t="s"/>
      <c r="D111" s="143" t="s"/>
      <c r="E111" s="143" t="s"/>
      <c r="F111" s="143" t="s"/>
      <c r="G111" s="143" t="s"/>
      <c r="H111" s="143" t="s"/>
      <c r="I111" s="143" t="s"/>
      <c r="J111" s="143" t="s"/>
      <c r="K111" s="143" t="s"/>
      <c r="L111" s="143" t="s"/>
      <c r="M111" s="143" t="s"/>
      <c r="N111" s="143" t="s"/>
      <c r="O111" s="143" t="s"/>
      <c r="P111" s="143" t="s"/>
      <c r="Q111" s="143" t="s"/>
      <c r="R111" s="143" t="s"/>
      <c r="S111" s="143" t="s"/>
      <c r="T111" s="143" t="s"/>
      <c r="U111" s="143" t="s"/>
      <c r="V111" s="143" t="s"/>
      <c r="W111" s="143" t="s"/>
      <c r="X111" s="143" t="s"/>
    </row>
    <row r="112" spans="1:24">
      <c r="A112" s="143" t="s"/>
      <c r="B112" s="143" t="s"/>
      <c r="C112" s="143" t="s"/>
      <c r="D112" s="143" t="s"/>
      <c r="E112" s="143" t="s"/>
      <c r="F112" s="143" t="s"/>
      <c r="G112" s="143" t="s"/>
      <c r="H112" s="143" t="s"/>
      <c r="I112" s="143" t="s"/>
      <c r="J112" s="143" t="s"/>
      <c r="K112" s="143" t="s"/>
      <c r="L112" s="143" t="s"/>
      <c r="M112" s="143" t="s"/>
      <c r="N112" s="143" t="s"/>
      <c r="O112" s="143" t="s"/>
      <c r="P112" s="143" t="s"/>
      <c r="Q112" s="143" t="s"/>
      <c r="R112" s="143" t="s"/>
      <c r="S112" s="143" t="s"/>
      <c r="T112" s="143" t="s"/>
      <c r="U112" s="143" t="s"/>
      <c r="V112" s="143" t="s"/>
      <c r="W112" s="143" t="s"/>
      <c r="X112" s="143" t="s"/>
    </row>
    <row r="113" spans="1:24">
      <c r="A113" s="143" t="s"/>
      <c r="B113" s="143" t="s"/>
      <c r="C113" s="143" t="s"/>
      <c r="D113" s="143" t="s"/>
      <c r="E113" s="143" t="s"/>
      <c r="F113" s="143" t="s"/>
      <c r="G113" s="143" t="s"/>
      <c r="H113" s="143" t="s"/>
      <c r="I113" s="143" t="s"/>
      <c r="J113" s="143" t="s"/>
      <c r="K113" s="143" t="s"/>
      <c r="L113" s="143" t="s"/>
      <c r="M113" s="143" t="s"/>
      <c r="N113" s="143" t="s"/>
      <c r="O113" s="143" t="s"/>
      <c r="P113" s="143" t="s"/>
      <c r="Q113" s="143" t="s"/>
      <c r="R113" s="143" t="s"/>
      <c r="S113" s="143" t="s"/>
      <c r="T113" s="143" t="s"/>
      <c r="U113" s="143" t="s"/>
      <c r="V113" s="143" t="s"/>
      <c r="W113" s="143" t="s"/>
      <c r="X113" s="143" t="s"/>
    </row>
    <row r="114" spans="1:24">
      <c r="A114" s="143" t="s"/>
      <c r="B114" s="143" t="s"/>
      <c r="C114" s="143" t="s"/>
      <c r="D114" s="143" t="s"/>
      <c r="E114" s="143" t="s"/>
      <c r="F114" s="143" t="s"/>
      <c r="G114" s="143" t="s"/>
      <c r="H114" s="143" t="s"/>
      <c r="I114" s="143" t="s"/>
      <c r="J114" s="143" t="s"/>
      <c r="K114" s="143" t="s"/>
      <c r="L114" s="143" t="s"/>
      <c r="M114" s="143" t="s"/>
      <c r="N114" s="143" t="s"/>
      <c r="O114" s="143" t="s"/>
      <c r="P114" s="143" t="s"/>
      <c r="Q114" s="143" t="s"/>
      <c r="R114" s="143" t="s"/>
      <c r="S114" s="143" t="s"/>
      <c r="T114" s="143" t="s"/>
      <c r="U114" s="143" t="s"/>
      <c r="V114" s="143" t="s"/>
      <c r="W114" s="143" t="s"/>
      <c r="X114" s="143" t="s"/>
    </row>
    <row r="115" spans="1:24">
      <c r="A115" s="143" t="s"/>
      <c r="B115" s="143" t="s"/>
      <c r="C115" s="143" t="s"/>
      <c r="D115" s="143" t="s"/>
      <c r="E115" s="143" t="s"/>
      <c r="F115" s="143" t="s"/>
      <c r="G115" s="143" t="s"/>
      <c r="H115" s="143" t="s"/>
      <c r="I115" s="143" t="s"/>
      <c r="J115" s="143" t="s"/>
      <c r="K115" s="143" t="s"/>
      <c r="L115" s="143" t="s"/>
      <c r="M115" s="143" t="s"/>
      <c r="N115" s="143" t="s"/>
      <c r="O115" s="143" t="s"/>
      <c r="P115" s="143" t="s"/>
      <c r="Q115" s="143" t="s"/>
      <c r="R115" s="143" t="s"/>
      <c r="S115" s="143" t="s"/>
      <c r="T115" s="143" t="s"/>
      <c r="U115" s="143" t="s"/>
      <c r="V115" s="143" t="s"/>
      <c r="W115" s="143" t="s"/>
      <c r="X115" s="143" t="s"/>
    </row>
    <row r="116" spans="1:24">
      <c r="A116" s="143" t="s"/>
      <c r="B116" s="143" t="s"/>
      <c r="C116" s="143" t="s"/>
      <c r="D116" s="143" t="s"/>
      <c r="E116" s="143" t="s"/>
      <c r="F116" s="143" t="s"/>
      <c r="G116" s="143" t="s"/>
      <c r="H116" s="143" t="s"/>
      <c r="I116" s="143" t="s"/>
      <c r="J116" s="143" t="s"/>
      <c r="K116" s="143" t="s"/>
      <c r="L116" s="143" t="s"/>
      <c r="M116" s="143" t="s"/>
      <c r="N116" s="143" t="s"/>
      <c r="O116" s="143" t="s"/>
      <c r="P116" s="143" t="s"/>
      <c r="Q116" s="143" t="s"/>
      <c r="R116" s="143" t="s"/>
      <c r="S116" s="143" t="s"/>
      <c r="T116" s="143" t="s"/>
      <c r="U116" s="143" t="s"/>
      <c r="V116" s="143" t="s"/>
      <c r="W116" s="143" t="s"/>
      <c r="X116" s="143" t="s"/>
    </row>
    <row r="117" spans="1:24">
      <c r="A117" s="143" t="s"/>
      <c r="B117" s="143" t="s"/>
      <c r="C117" s="143" t="s"/>
      <c r="D117" s="143" t="s"/>
      <c r="E117" s="143" t="s"/>
      <c r="F117" s="143" t="s"/>
      <c r="G117" s="143" t="s"/>
      <c r="H117" s="143" t="s"/>
      <c r="I117" s="143" t="s"/>
      <c r="J117" s="143" t="s"/>
      <c r="K117" s="143" t="s"/>
      <c r="L117" s="143" t="s"/>
      <c r="M117" s="143" t="s"/>
      <c r="N117" s="143" t="s"/>
      <c r="O117" s="143" t="s"/>
      <c r="P117" s="143" t="s"/>
      <c r="Q117" s="143" t="s"/>
      <c r="R117" s="143" t="s"/>
      <c r="S117" s="143" t="s"/>
      <c r="T117" s="143" t="s"/>
      <c r="U117" s="143" t="s"/>
      <c r="V117" s="143" t="s"/>
      <c r="W117" s="143" t="s"/>
      <c r="X117" s="143" t="s"/>
    </row>
    <row r="118" spans="1:24">
      <c r="A118" s="143" t="s"/>
      <c r="B118" s="143" t="s"/>
      <c r="C118" s="143" t="s"/>
      <c r="D118" s="143" t="s"/>
      <c r="E118" s="143" t="s"/>
      <c r="F118" s="143" t="s"/>
      <c r="G118" s="143" t="s"/>
      <c r="H118" s="143" t="s"/>
      <c r="I118" s="143" t="s"/>
      <c r="J118" s="143" t="s"/>
      <c r="K118" s="143" t="s"/>
      <c r="L118" s="143" t="s"/>
      <c r="M118" s="143" t="s"/>
      <c r="N118" s="143" t="s"/>
      <c r="O118" s="143" t="s"/>
      <c r="P118" s="143" t="s"/>
      <c r="Q118" s="143" t="s"/>
      <c r="R118" s="143" t="s"/>
      <c r="S118" s="143" t="s"/>
      <c r="T118" s="143" t="s"/>
      <c r="U118" s="143" t="s"/>
      <c r="V118" s="143" t="s"/>
      <c r="W118" s="143" t="s"/>
      <c r="X118" s="143" t="s"/>
    </row>
    <row r="119" spans="1:24">
      <c r="A119" s="143" t="s"/>
      <c r="B119" s="143" t="s"/>
      <c r="C119" s="143" t="s"/>
      <c r="D119" s="143" t="s"/>
      <c r="E119" s="143" t="s"/>
      <c r="F119" s="143" t="s"/>
      <c r="G119" s="143" t="s"/>
      <c r="H119" s="143" t="s"/>
      <c r="I119" s="143" t="s"/>
      <c r="J119" s="143" t="s"/>
      <c r="K119" s="143" t="s"/>
      <c r="L119" s="143" t="s"/>
      <c r="M119" s="143" t="s"/>
      <c r="N119" s="143" t="s"/>
      <c r="O119" s="143" t="s"/>
      <c r="P119" s="143" t="s"/>
      <c r="Q119" s="143" t="s"/>
      <c r="R119" s="143" t="s"/>
      <c r="S119" s="143" t="s"/>
      <c r="T119" s="143" t="s"/>
      <c r="U119" s="143" t="s"/>
      <c r="V119" s="143" t="s"/>
      <c r="W119" s="143" t="s"/>
      <c r="X119" s="143" t="s"/>
    </row>
    <row r="120" spans="1:24">
      <c r="A120" s="143" t="s"/>
      <c r="B120" s="143" t="s"/>
      <c r="C120" s="143" t="s"/>
      <c r="D120" s="143" t="s"/>
      <c r="E120" s="143" t="s"/>
      <c r="F120" s="143" t="s"/>
      <c r="G120" s="143" t="s"/>
      <c r="H120" s="143" t="s"/>
      <c r="I120" s="143" t="s"/>
      <c r="J120" s="143" t="s"/>
      <c r="K120" s="143" t="s"/>
      <c r="L120" s="143" t="s"/>
      <c r="M120" s="143" t="s"/>
      <c r="N120" s="143" t="s"/>
      <c r="O120" s="143" t="s"/>
      <c r="P120" s="143" t="s"/>
      <c r="Q120" s="143" t="s"/>
      <c r="R120" s="143" t="s"/>
      <c r="S120" s="143" t="s"/>
      <c r="T120" s="143" t="s"/>
      <c r="U120" s="143" t="s"/>
      <c r="V120" s="143" t="s"/>
      <c r="W120" s="143" t="s"/>
      <c r="X120" s="143" t="s"/>
    </row>
    <row r="121" spans="1:24">
      <c r="A121" s="143" t="s"/>
      <c r="B121" s="143" t="s"/>
      <c r="C121" s="143" t="s"/>
      <c r="D121" s="143" t="s"/>
      <c r="E121" s="143" t="s"/>
      <c r="F121" s="143" t="s"/>
      <c r="G121" s="143" t="s"/>
      <c r="H121" s="143" t="s"/>
      <c r="I121" s="143" t="s"/>
      <c r="J121" s="143" t="s"/>
      <c r="K121" s="143" t="s"/>
      <c r="L121" s="143" t="s"/>
      <c r="M121" s="143" t="s"/>
      <c r="N121" s="143" t="s"/>
      <c r="O121" s="143" t="s"/>
      <c r="P121" s="143" t="s"/>
      <c r="Q121" s="143" t="s"/>
      <c r="R121" s="143" t="s"/>
      <c r="S121" s="143" t="s"/>
      <c r="T121" s="143" t="s"/>
      <c r="U121" s="143" t="s"/>
      <c r="V121" s="143" t="s"/>
      <c r="W121" s="143" t="s"/>
      <c r="X121" s="143" t="s"/>
    </row>
  </sheetData>
  <mergeCells count="12">
    <mergeCell ref="S2:X2"/>
    <mergeCell ref="Z2:AF2"/>
    <mergeCell ref="AH2:AO2"/>
    <mergeCell ref="B25:P25"/>
    <mergeCell ref="B13:N13"/>
    <mergeCell ref="B36:P36"/>
    <mergeCell ref="L59:M59"/>
    <mergeCell ref="L58:M58"/>
    <mergeCell ref="L55:M55"/>
    <mergeCell ref="L56:M56"/>
    <mergeCell ref="O55:P55"/>
    <mergeCell ref="O56:P56"/>
  </mergeCells>
  <dataValidations>
    <dataValidation type="list" operator="between" allowBlank="1" showInputMessage="1" showErrorMessage="1" sqref="C15:C23">
      <formula1>技能lookup表!$A$4:$A$30</formula1>
    </dataValidation>
    <dataValidation type="list" operator="between" allowBlank="1" showInputMessage="1" showErrorMessage="1" sqref="C27:C34">
      <formula1>技能lookup表!$D$4:$D$30</formula1>
    </dataValidation>
    <dataValidation type="list" operator="between" allowBlank="1" showInputMessage="1" showErrorMessage="1" sqref="C38:C39">
      <formula1>技能lookup表!$H$4:$H$30</formula1>
    </dataValidation>
    <dataValidation type="list" operator="between" allowBlank="1" showInputMessage="1" showErrorMessage="1" sqref="AH4:AH23">
      <formula1>"原始, 附加"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Z30"/>
  <sheetViews>
    <sheetView showGridLines="0" zoomScale="200" workbookViewId="0"/>
  </sheetViews>
  <sheetFormatPr baseColWidth="10" defaultColWidth="16.332" defaultRowHeight="15.5" customHeight="1"/>
  <cols>
    <col min="1" max="1" width="11.332" style="229" customWidth="1"/>
    <col min="2" max="3" width="10" style="229" customWidth="1"/>
    <col min="4" max="4" width="11.6641" style="229" customWidth="1"/>
    <col min="5" max="7" width="10" style="229" customWidth="1"/>
    <col min="8" max="8" width="7" style="229" customWidth="1"/>
    <col min="9" max="9" width="3.66406" style="229" customWidth="1"/>
    <col min="10" max="10" width="3.33203" style="229" customWidth="1"/>
    <col min="11" max="11" width="5.66406" style="229" customWidth="1"/>
    <col min="12" max="12" width="16.332" style="229" customWidth="1"/>
    <col min="13" max="26" width="16.332" style="229"/>
  </cols>
  <sheetData>
    <row r="1" spans="1:12" ht="16" customHeight="1">
      <c r="A1" s="144" t="s">
        <v>120</v>
      </c>
      <c r="B1" s="145" t="s"/>
      <c r="C1" s="146" t="s"/>
      <c r="D1" s="147" t="s"/>
      <c r="E1" s="145" t="s"/>
      <c r="F1" s="145" t="s"/>
      <c r="G1" s="146" t="s"/>
      <c r="H1" s="147" t="s"/>
      <c r="I1" s="145" t="s"/>
      <c r="J1" s="145" t="s"/>
      <c r="K1" s="146" t="s"/>
      <c r="L1" s="148" t="s">
        <v>205</v>
      </c>
    </row>
    <row r="2" spans="1:11" ht="18.75" customHeight="1">
      <c r="A2" s="149" t="s">
        <v>121</v>
      </c>
      <c r="B2" s="150" t="s"/>
      <c r="C2" s="151" t="s"/>
      <c r="D2" s="152" t="s">
        <v>122</v>
      </c>
      <c r="E2" s="150" t="s"/>
      <c r="F2" s="150" t="s"/>
      <c r="G2" s="151" t="s"/>
      <c r="H2" s="152" t="s">
        <v>123</v>
      </c>
      <c r="I2" s="150" t="s"/>
      <c r="J2" s="150" t="s"/>
      <c r="K2" s="151" t="s"/>
    </row>
    <row r="3" spans="1:11" ht="13" customHeight="1">
      <c r="A3" s="153" t="s">
        <v>124</v>
      </c>
      <c r="B3" s="154" t="s">
        <v>46</v>
      </c>
      <c r="C3" s="155" t="s">
        <v>125</v>
      </c>
      <c r="D3" s="153" t="s">
        <v>124</v>
      </c>
      <c r="E3" s="154" t="s">
        <v>46</v>
      </c>
      <c r="F3" s="154" t="s">
        <v>45</v>
      </c>
      <c r="G3" s="155" t="s">
        <v>125</v>
      </c>
      <c r="H3" s="153" t="s">
        <v>124</v>
      </c>
      <c r="I3" s="154" t="s">
        <v>46</v>
      </c>
      <c r="J3" s="154" t="s">
        <v>45</v>
      </c>
      <c r="K3" s="155" t="s">
        <v>125</v>
      </c>
    </row>
    <row r="4" spans="1:11" ht="11.25" customHeight="1">
      <c r="A4" s="156" t="s">
        <v>126</v>
      </c>
      <c r="B4" s="157">
        <v>180</v>
      </c>
      <c r="C4" s="158">
        <v>143</v>
      </c>
      <c r="D4" s="156" t="s">
        <v>127</v>
      </c>
      <c r="E4" s="157">
        <v>30</v>
      </c>
      <c r="F4" s="157">
        <v>20</v>
      </c>
      <c r="G4" s="158">
        <v>138</v>
      </c>
      <c r="H4" s="156" t="s">
        <v>128</v>
      </c>
      <c r="I4" s="157">
        <v>60</v>
      </c>
      <c r="J4" s="157">
        <v>45</v>
      </c>
      <c r="K4" s="158">
        <v>138</v>
      </c>
    </row>
    <row r="5" spans="1:11" ht="11.25" customHeight="1">
      <c r="A5" s="156" t="s">
        <v>129</v>
      </c>
      <c r="B5" s="157">
        <v>120</v>
      </c>
      <c r="C5" s="158">
        <v>143</v>
      </c>
      <c r="D5" s="156" t="s">
        <v>130</v>
      </c>
      <c r="E5" s="157">
        <v>30</v>
      </c>
      <c r="F5" s="157">
        <v>20</v>
      </c>
      <c r="G5" s="158">
        <v>144</v>
      </c>
      <c r="H5" s="156" t="s">
        <v>131</v>
      </c>
      <c r="I5" s="157">
        <v>60</v>
      </c>
      <c r="J5" s="157">
        <v>45</v>
      </c>
      <c r="K5" s="158">
        <v>140</v>
      </c>
    </row>
    <row r="6" spans="1:11" ht="11.25" customHeight="1">
      <c r="A6" s="156" t="s">
        <v>132</v>
      </c>
      <c r="B6" s="157">
        <v>160</v>
      </c>
      <c r="C6" s="158">
        <v>256</v>
      </c>
      <c r="D6" s="156" t="s">
        <v>133</v>
      </c>
      <c r="E6" s="157">
        <v>20</v>
      </c>
      <c r="F6" s="157">
        <v>10</v>
      </c>
      <c r="G6" s="158">
        <v>144</v>
      </c>
      <c r="H6" s="156" t="s">
        <v>134</v>
      </c>
      <c r="I6" s="157">
        <v>60</v>
      </c>
      <c r="J6" s="157">
        <v>45</v>
      </c>
      <c r="K6" s="158">
        <v>143</v>
      </c>
    </row>
    <row r="7" spans="1:11" ht="11.25" customHeight="1">
      <c r="A7" s="156" t="s">
        <v>135</v>
      </c>
      <c r="B7" s="157">
        <v>30</v>
      </c>
      <c r="C7" s="158">
        <v>200</v>
      </c>
      <c r="D7" s="156" t="s">
        <v>136</v>
      </c>
      <c r="E7" s="157">
        <v>60</v>
      </c>
      <c r="F7" s="157">
        <v>42</v>
      </c>
      <c r="G7" s="158">
        <v>120</v>
      </c>
      <c r="H7" s="156" t="s">
        <v>137</v>
      </c>
      <c r="I7" s="157">
        <v>60</v>
      </c>
      <c r="J7" s="157">
        <v>45</v>
      </c>
      <c r="K7" s="158">
        <v>137</v>
      </c>
    </row>
    <row r="8" spans="1:11" ht="11.25" customHeight="1">
      <c r="A8" s="156" t="s">
        <v>138</v>
      </c>
      <c r="B8" s="157">
        <v>15</v>
      </c>
      <c r="C8" s="158">
        <v>0</v>
      </c>
      <c r="D8" s="156" t="s">
        <v>139</v>
      </c>
      <c r="E8" s="157">
        <v>45</v>
      </c>
      <c r="F8" s="157">
        <v>30</v>
      </c>
      <c r="G8" s="158">
        <v>200</v>
      </c>
      <c r="H8" s="156" t="s">
        <v>140</v>
      </c>
      <c r="I8" s="157">
        <v>60</v>
      </c>
      <c r="J8" s="157">
        <v>45</v>
      </c>
      <c r="K8" s="158">
        <v>141</v>
      </c>
    </row>
    <row r="9" spans="1:11" ht="11.25" customHeight="1">
      <c r="A9" s="159" t="s">
        <v>141</v>
      </c>
      <c r="B9" s="160">
        <v>180</v>
      </c>
      <c r="C9" s="161">
        <v>147</v>
      </c>
      <c r="D9" s="156" t="s">
        <v>142</v>
      </c>
      <c r="E9" s="157">
        <v>45</v>
      </c>
      <c r="F9" s="157">
        <v>30</v>
      </c>
      <c r="G9" s="158">
        <v>126</v>
      </c>
      <c r="H9" s="159" t="s">
        <v>143</v>
      </c>
      <c r="I9" s="160">
        <v>60</v>
      </c>
      <c r="J9" s="160">
        <v>45</v>
      </c>
      <c r="K9" s="161">
        <v>150</v>
      </c>
    </row>
    <row r="10" spans="1:11" ht="11.25" customHeight="1">
      <c r="A10" s="159" t="s">
        <v>202</v>
      </c>
      <c r="B10" s="160">
        <v>120</v>
      </c>
      <c r="C10" s="161">
        <v>147</v>
      </c>
      <c r="D10" s="162" t="s">
        <v>145</v>
      </c>
      <c r="E10" s="157">
        <v>45</v>
      </c>
      <c r="F10" s="157">
        <v>30</v>
      </c>
      <c r="G10" s="158">
        <v>141</v>
      </c>
      <c r="H10" s="162" t="s"/>
      <c r="I10" s="157" t="s"/>
      <c r="J10" s="157" t="s"/>
      <c r="K10" s="158" t="s"/>
    </row>
    <row r="11" spans="1:11" ht="11.25" customHeight="1">
      <c r="A11" s="159" t="s">
        <v>146</v>
      </c>
      <c r="B11" s="160">
        <v>90</v>
      </c>
      <c r="C11" s="161">
        <v>232</v>
      </c>
      <c r="D11" s="162" t="s">
        <v>147</v>
      </c>
      <c r="E11" s="157">
        <v>60</v>
      </c>
      <c r="F11" s="157">
        <v>42</v>
      </c>
      <c r="G11" s="158">
        <v>141</v>
      </c>
      <c r="H11" s="162" t="s"/>
      <c r="I11" s="157" t="s"/>
      <c r="J11" s="157" t="s"/>
      <c r="K11" s="158" t="s"/>
    </row>
    <row r="12" spans="1:11" ht="11.25" customHeight="1">
      <c r="A12" s="159" t="s">
        <v>148</v>
      </c>
      <c r="B12" s="160">
        <v>160</v>
      </c>
      <c r="C12" s="161">
        <v>200</v>
      </c>
      <c r="D12" s="159" t="s">
        <v>149</v>
      </c>
      <c r="E12" s="160">
        <v>45</v>
      </c>
      <c r="F12" s="160">
        <v>30</v>
      </c>
      <c r="G12" s="161">
        <v>129</v>
      </c>
      <c r="H12" s="162" t="s"/>
      <c r="I12" s="157" t="s"/>
      <c r="J12" s="157" t="s"/>
      <c r="K12" s="158" t="s"/>
    </row>
    <row r="13" spans="1:11" ht="11.25" customHeight="1">
      <c r="A13" s="159" t="s">
        <v>201</v>
      </c>
      <c r="B13" s="160">
        <v>30</v>
      </c>
      <c r="C13" s="161">
        <v>216</v>
      </c>
      <c r="D13" s="159" t="s">
        <v>150</v>
      </c>
      <c r="E13" s="160">
        <v>30</v>
      </c>
      <c r="F13" s="160">
        <v>20</v>
      </c>
      <c r="G13" s="161">
        <v>150</v>
      </c>
      <c r="H13" s="162" t="s"/>
      <c r="I13" s="157" t="s"/>
      <c r="J13" s="157" t="s"/>
      <c r="K13" s="158" t="s"/>
    </row>
    <row r="14" spans="1:11" ht="11.25" customHeight="1">
      <c r="A14" s="159" t="s">
        <v>203</v>
      </c>
      <c r="B14" s="160">
        <v>180</v>
      </c>
      <c r="C14" s="161">
        <v>304</v>
      </c>
      <c r="D14" s="159" t="s">
        <v>151</v>
      </c>
      <c r="E14" s="160">
        <v>60</v>
      </c>
      <c r="F14" s="160">
        <v>42</v>
      </c>
      <c r="G14" s="161">
        <v>132</v>
      </c>
      <c r="H14" s="162" t="s"/>
      <c r="I14" s="157" t="s"/>
      <c r="J14" s="157" t="s"/>
      <c r="K14" s="158" t="s"/>
    </row>
    <row r="15" spans="1:11" ht="11.25" customHeight="1">
      <c r="A15" s="159" t="s">
        <v>204</v>
      </c>
      <c r="B15" s="160">
        <v>120</v>
      </c>
      <c r="C15" s="161">
        <v>304</v>
      </c>
      <c r="D15" s="159" t="s">
        <v>152</v>
      </c>
      <c r="E15" s="160">
        <v>40</v>
      </c>
      <c r="F15" s="160">
        <v>30</v>
      </c>
      <c r="G15" s="161">
        <v>126</v>
      </c>
      <c r="H15" s="162" t="s"/>
      <c r="I15" s="157" t="s"/>
      <c r="J15" s="157" t="s"/>
      <c r="K15" s="158" t="s"/>
    </row>
    <row r="16" spans="1:11" ht="11.25" customHeight="1">
      <c r="A16" s="162" t="s"/>
      <c r="B16" s="157" t="s"/>
      <c r="C16" s="158" t="s"/>
      <c r="D16" s="159" t="s">
        <v>153</v>
      </c>
      <c r="E16" s="160">
        <v>45</v>
      </c>
      <c r="F16" s="160">
        <v>30</v>
      </c>
      <c r="G16" s="161">
        <v>200</v>
      </c>
      <c r="H16" s="162" t="s"/>
      <c r="I16" s="157" t="s"/>
      <c r="J16" s="157" t="s"/>
      <c r="K16" s="158" t="s"/>
    </row>
    <row r="17" spans="1:11" ht="11.25" customHeight="1">
      <c r="A17" s="162" t="s"/>
      <c r="B17" s="157" t="s"/>
      <c r="C17" s="158" t="s"/>
      <c r="D17" s="159" t="s">
        <v>154</v>
      </c>
      <c r="E17" s="160">
        <v>30</v>
      </c>
      <c r="F17" s="160">
        <v>20</v>
      </c>
      <c r="G17" s="161">
        <v>137</v>
      </c>
      <c r="H17" s="162" t="s"/>
      <c r="I17" s="157" t="s"/>
      <c r="J17" s="157" t="s"/>
      <c r="K17" s="158" t="s"/>
    </row>
    <row r="18" spans="1:11" ht="11.25" customHeight="1">
      <c r="A18" s="162" t="s"/>
      <c r="B18" s="157" t="s"/>
      <c r="C18" s="158" t="s"/>
      <c r="D18" s="159" t="s">
        <v>155</v>
      </c>
      <c r="E18" s="160">
        <v>45</v>
      </c>
      <c r="F18" s="160">
        <v>30</v>
      </c>
      <c r="G18" s="161">
        <v>143</v>
      </c>
      <c r="H18" s="162" t="s"/>
      <c r="I18" s="157" t="s"/>
      <c r="J18" s="157" t="s"/>
      <c r="K18" s="158" t="s"/>
    </row>
    <row r="19" spans="1:11" ht="11.25" customHeight="1">
      <c r="A19" s="162" t="s"/>
      <c r="B19" s="157" t="s"/>
      <c r="C19" s="158" t="s"/>
      <c r="D19" s="159" t="s">
        <v>156</v>
      </c>
      <c r="E19" s="160">
        <v>60</v>
      </c>
      <c r="F19" s="160">
        <v>42</v>
      </c>
      <c r="G19" s="161">
        <v>149</v>
      </c>
      <c r="H19" s="162" t="s"/>
      <c r="I19" s="157" t="s"/>
      <c r="J19" s="157" t="s"/>
      <c r="K19" s="158" t="s"/>
    </row>
    <row r="20" spans="1:11" ht="11.25" customHeight="1">
      <c r="A20" s="162" t="s"/>
      <c r="B20" s="157" t="s"/>
      <c r="C20" s="158" t="s"/>
      <c r="D20" s="159" t="s">
        <v>196</v>
      </c>
      <c r="E20" s="160">
        <v>30</v>
      </c>
      <c r="F20" s="160">
        <v>20</v>
      </c>
      <c r="G20" s="161">
        <v>143</v>
      </c>
      <c r="H20" s="162" t="s"/>
      <c r="I20" s="157" t="s"/>
      <c r="J20" s="157" t="s"/>
      <c r="K20" s="158" t="s"/>
    </row>
    <row r="21" spans="1:11" ht="11.25" customHeight="1">
      <c r="A21" s="162" t="s"/>
      <c r="B21" s="157" t="s"/>
      <c r="C21" s="158" t="s"/>
      <c r="D21" s="159" t="s">
        <v>197</v>
      </c>
      <c r="E21" s="160">
        <v>60</v>
      </c>
      <c r="F21" s="160">
        <v>45</v>
      </c>
      <c r="G21" s="161">
        <v>135</v>
      </c>
      <c r="H21" s="162" t="s"/>
      <c r="I21" s="157" t="s"/>
      <c r="J21" s="157" t="s"/>
      <c r="K21" s="158" t="s"/>
    </row>
    <row r="22" spans="1:11" ht="11.25" customHeight="1">
      <c r="A22" s="162" t="s"/>
      <c r="B22" s="157" t="s"/>
      <c r="C22" s="158" t="s"/>
      <c r="D22" s="227" t="s">
        <v>199</v>
      </c>
      <c r="E22" s="160">
        <v>60</v>
      </c>
      <c r="F22" s="160">
        <v>42</v>
      </c>
      <c r="G22" s="161">
        <v>135</v>
      </c>
      <c r="H22" s="162" t="s"/>
      <c r="I22" s="157" t="s"/>
      <c r="J22" s="157" t="s"/>
      <c r="K22" s="158" t="s"/>
    </row>
    <row r="23" spans="1:11" ht="11.25" customHeight="1">
      <c r="A23" s="162" t="s"/>
      <c r="B23" s="157" t="s"/>
      <c r="C23" s="158" t="s"/>
      <c r="D23" s="159" t="s">
        <v>200</v>
      </c>
      <c r="E23" s="160">
        <v>55</v>
      </c>
      <c r="F23" s="160">
        <v>40</v>
      </c>
      <c r="G23" s="161">
        <v>147</v>
      </c>
      <c r="H23" s="162" t="s"/>
      <c r="I23" s="157" t="s"/>
      <c r="J23" s="157" t="s"/>
      <c r="K23" s="158" t="s"/>
    </row>
    <row r="24" spans="1:11" ht="11.25" customHeight="1">
      <c r="A24" s="162" t="s"/>
      <c r="B24" s="157" t="s"/>
      <c r="C24" s="158" t="s"/>
      <c r="D24" s="162" t="s"/>
      <c r="E24" s="157" t="s"/>
      <c r="F24" s="157" t="s"/>
      <c r="G24" s="158" t="s"/>
      <c r="H24" s="162" t="s"/>
      <c r="I24" s="157" t="s"/>
      <c r="J24" s="157" t="s"/>
      <c r="K24" s="158" t="s"/>
    </row>
    <row r="25" spans="1:11" ht="11.25" customHeight="1">
      <c r="A25" s="162" t="s"/>
      <c r="B25" s="157" t="s"/>
      <c r="C25" s="158" t="s"/>
      <c r="D25" s="162" t="s"/>
      <c r="E25" s="157" t="s"/>
      <c r="F25" s="157" t="s"/>
      <c r="G25" s="158" t="s"/>
      <c r="H25" s="162" t="s"/>
      <c r="I25" s="157" t="s"/>
      <c r="J25" s="157" t="s"/>
      <c r="K25" s="158" t="s"/>
    </row>
    <row r="26" spans="1:11" ht="11.25" customHeight="1">
      <c r="A26" s="162" t="s"/>
      <c r="B26" s="157" t="s"/>
      <c r="C26" s="158" t="s"/>
      <c r="D26" s="162" t="s"/>
      <c r="E26" s="157" t="s"/>
      <c r="F26" s="157" t="s"/>
      <c r="G26" s="158" t="s"/>
      <c r="H26" s="162" t="s"/>
      <c r="I26" s="157" t="s"/>
      <c r="J26" s="157" t="s"/>
      <c r="K26" s="158" t="s"/>
    </row>
    <row r="27" spans="1:11" ht="11.25" customHeight="1">
      <c r="A27" s="162" t="s"/>
      <c r="B27" s="157" t="s"/>
      <c r="C27" s="158" t="s"/>
      <c r="D27" s="162" t="s"/>
      <c r="E27" s="157" t="s"/>
      <c r="F27" s="157" t="s"/>
      <c r="G27" s="158" t="s"/>
      <c r="H27" s="162" t="s"/>
      <c r="I27" s="157" t="s"/>
      <c r="J27" s="157" t="s"/>
      <c r="K27" s="158" t="s"/>
    </row>
    <row r="28" spans="1:11" ht="11.25" customHeight="1">
      <c r="A28" s="162" t="s"/>
      <c r="B28" s="157" t="s"/>
      <c r="C28" s="158" t="s"/>
      <c r="D28" s="162" t="s"/>
      <c r="E28" s="157" t="s"/>
      <c r="F28" s="157" t="s"/>
      <c r="G28" s="158" t="s"/>
      <c r="H28" s="162" t="s"/>
      <c r="I28" s="157" t="s"/>
      <c r="J28" s="157" t="s"/>
      <c r="K28" s="158" t="s"/>
    </row>
    <row r="29" spans="1:11" ht="11.25" customHeight="1">
      <c r="A29" s="162" t="s"/>
      <c r="B29" s="157" t="s"/>
      <c r="C29" s="158" t="s"/>
      <c r="D29" s="162" t="s"/>
      <c r="E29" s="157" t="s"/>
      <c r="F29" s="157" t="s"/>
      <c r="G29" s="158" t="s"/>
      <c r="H29" s="162" t="s"/>
      <c r="I29" s="157" t="s"/>
      <c r="J29" s="157" t="s"/>
      <c r="K29" s="158" t="s"/>
    </row>
    <row r="30" spans="1:11" ht="11.75" customHeight="1">
      <c r="A30" s="163" t="s"/>
      <c r="B30" s="164" t="s"/>
      <c r="C30" s="165" t="s"/>
      <c r="D30" s="163" t="s"/>
      <c r="E30" s="164" t="s"/>
      <c r="F30" s="164" t="s"/>
      <c r="G30" s="165" t="s"/>
      <c r="H30" s="163" t="s"/>
      <c r="I30" s="164" t="s"/>
      <c r="J30" s="164" t="s"/>
      <c r="K30" s="165" t="s"/>
    </row>
  </sheetData>
  <mergeCells count="4">
    <mergeCell ref="D2:G2"/>
    <mergeCell ref="A2:C2"/>
    <mergeCell ref="H2:K2"/>
    <mergeCell ref="A1:K1"/>
  </mergeCells>
  <hyperlinks>
    <hyperlink ref="L1" r:id="rId0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AM200"/>
  <sheetViews>
    <sheetView showGridLines="0" zoomScale="137" workbookViewId="0">
      <pane xSplit="1" ySplit="2" topLeftCell="B3" activePane="bottomRight" state="frozen"/>
    </sheetView>
  </sheetViews>
  <sheetFormatPr baseColWidth="10" defaultColWidth="9" defaultRowHeight="15"/>
  <cols>
    <col min="1" max="1" width="9.16406" style="230" customWidth="1"/>
    <col min="2" max="2" width="8" style="231" customWidth="1"/>
    <col min="3" max="4" width="4.83203" style="231" customWidth="1"/>
    <col min="5" max="5" width="6.16406" style="231" customWidth="1"/>
    <col min="6" max="6" width="4.83203" style="231" hidden="1" customWidth="1"/>
    <col min="7" max="7" width="8" style="231" customWidth="1"/>
    <col min="8" max="9" width="4.83203" style="231" customWidth="1"/>
    <col min="10" max="10" width="6.16406" style="231" customWidth="1"/>
    <col min="11" max="11" width="4.83203" style="231" hidden="1" customWidth="1"/>
    <col min="12" max="12" width="8" style="231" customWidth="1"/>
    <col min="13" max="14" width="4.83203" style="231" customWidth="1"/>
    <col min="15" max="15" width="6.16406" style="231" customWidth="1"/>
    <col min="16" max="16" width="4.83203" style="231" hidden="1" customWidth="1"/>
    <col min="17" max="24" width="4.83203" style="231" customWidth="1"/>
    <col min="25" max="25" width="7.33203" style="231" hidden="1" customWidth="1"/>
    <col min="26" max="27" width="7.33203" style="231" customWidth="1"/>
    <col min="28" max="29" width="9.16406" style="231" customWidth="1"/>
    <col min="30" max="39" width="3.66406" style="232" hidden="1" customWidth="1"/>
  </cols>
  <sheetData>
    <row r="1" spans="1:39" ht="16.5" customHeight="1">
      <c r="A1" s="166" t="s">
        <v>107</v>
      </c>
      <c r="B1" s="167">
        <v>1</v>
      </c>
      <c r="C1" s="168" t="s">
        <v>157</v>
      </c>
      <c r="D1" s="169" t="s"/>
      <c r="E1" s="169" t="s"/>
      <c r="F1" s="170" t="s"/>
      <c r="G1" s="167">
        <v>2</v>
      </c>
      <c r="H1" s="168" t="s">
        <v>157</v>
      </c>
      <c r="I1" s="169" t="s"/>
      <c r="J1" s="169" t="s"/>
      <c r="K1" s="170" t="s"/>
      <c r="L1" s="167">
        <v>3</v>
      </c>
      <c r="M1" s="168" t="s">
        <v>157</v>
      </c>
      <c r="N1" s="169" t="s"/>
      <c r="O1" s="169" t="s"/>
      <c r="P1" s="170" t="s"/>
      <c r="Q1" s="167">
        <v>4</v>
      </c>
      <c r="R1" s="171" t="s"/>
      <c r="S1" s="167">
        <v>5</v>
      </c>
      <c r="T1" s="171" t="s"/>
      <c r="U1" s="167">
        <v>6</v>
      </c>
      <c r="V1" s="171" t="s"/>
      <c r="W1" s="172" t="s">
        <v>158</v>
      </c>
      <c r="X1" s="173" t="s">
        <v>159</v>
      </c>
      <c r="Y1" s="167" t="s">
        <v>160</v>
      </c>
      <c r="Z1" s="167" t="s">
        <v>161</v>
      </c>
      <c r="AA1" s="174" t="s">
        <v>162</v>
      </c>
      <c r="AB1" s="167" t="s">
        <v>163</v>
      </c>
      <c r="AC1" s="167" t="s">
        <v>164</v>
      </c>
      <c r="AD1" s="175" t="s">
        <v>165</v>
      </c>
      <c r="AE1" s="176" t="s"/>
      <c r="AF1" s="176" t="s"/>
      <c r="AG1" s="176" t="s"/>
      <c r="AH1" s="176" t="s"/>
      <c r="AI1" s="176" t="s"/>
      <c r="AJ1" s="175" t="s"/>
      <c r="AK1" s="175" t="s"/>
      <c r="AL1" s="175" t="s"/>
      <c r="AM1" s="175" t="s"/>
    </row>
    <row r="2" spans="1:39" ht="16.5" customHeight="1">
      <c r="A2" s="177" t="s"/>
      <c r="B2" s="167" t="s">
        <v>166</v>
      </c>
      <c r="C2" s="167" t="s">
        <v>167</v>
      </c>
      <c r="D2" s="167" t="s">
        <v>168</v>
      </c>
      <c r="E2" s="167" t="s">
        <v>169</v>
      </c>
      <c r="F2" s="167" t="s">
        <v>170</v>
      </c>
      <c r="G2" s="167" t="s">
        <v>166</v>
      </c>
      <c r="H2" s="167" t="s">
        <v>167</v>
      </c>
      <c r="I2" s="167" t="s">
        <v>168</v>
      </c>
      <c r="J2" s="167" t="s">
        <v>169</v>
      </c>
      <c r="K2" s="167" t="s">
        <v>170</v>
      </c>
      <c r="L2" s="167" t="s">
        <v>166</v>
      </c>
      <c r="M2" s="167" t="s">
        <v>167</v>
      </c>
      <c r="N2" s="167" t="s">
        <v>168</v>
      </c>
      <c r="O2" s="167" t="s">
        <v>169</v>
      </c>
      <c r="P2" s="167" t="s">
        <v>170</v>
      </c>
      <c r="Q2" s="167" t="s">
        <v>47</v>
      </c>
      <c r="R2" s="167" t="s">
        <v>168</v>
      </c>
      <c r="S2" s="167" t="s">
        <v>47</v>
      </c>
      <c r="T2" s="167" t="s">
        <v>168</v>
      </c>
      <c r="U2" s="167" t="s">
        <v>47</v>
      </c>
      <c r="V2" s="167" t="s">
        <v>168</v>
      </c>
      <c r="W2" s="178" t="s"/>
      <c r="X2" s="171" t="s"/>
      <c r="Y2" s="171" t="s"/>
      <c r="Z2" s="171" t="s"/>
      <c r="AA2" s="179" t="s"/>
      <c r="AB2" s="180" t="s"/>
      <c r="AC2" s="181">
        <f>=AB2-SUM(AA:AA)</f>
        <v>0</v>
      </c>
      <c r="AD2" s="176" t="s"/>
      <c r="AE2" s="176" t="s"/>
      <c r="AF2" s="176" t="s"/>
      <c r="AG2" s="176" t="s"/>
      <c r="AH2" s="176" t="s"/>
      <c r="AI2" s="176" t="s"/>
      <c r="AJ2" s="175" t="s"/>
      <c r="AK2" s="175" t="s"/>
      <c r="AL2" s="175" t="s"/>
      <c r="AM2" s="175" t="s"/>
    </row>
    <row r="3" spans="1:39" ht="16.5" customHeight="1">
      <c r="A3" s="182" t="s">
        <v>171</v>
      </c>
      <c r="B3" s="183" t="s"/>
      <c r="C3" s="184" t="s"/>
      <c r="D3" s="169" t="s"/>
      <c r="E3" s="169" t="s"/>
      <c r="F3" s="170" t="s"/>
      <c r="G3" s="183" t="s"/>
      <c r="H3" s="184" t="s"/>
      <c r="I3" s="169" t="s"/>
      <c r="J3" s="169" t="s"/>
      <c r="K3" s="170" t="s"/>
      <c r="L3" s="183" t="s"/>
      <c r="M3" s="184" t="s"/>
      <c r="N3" s="169" t="s"/>
      <c r="O3" s="169" t="s"/>
      <c r="P3" s="170" t="s"/>
      <c r="Q3" s="183" t="s"/>
      <c r="R3" s="171" t="s"/>
      <c r="S3" s="183" t="s"/>
      <c r="T3" s="171" t="s"/>
      <c r="U3" s="183" t="s"/>
      <c r="V3" s="171" t="s"/>
      <c r="W3" s="185" t="s"/>
      <c r="X3" s="186" t="s"/>
      <c r="Y3" s="181" t="s">
        <v>172</v>
      </c>
      <c r="Z3" s="181" t="s">
        <v>172</v>
      </c>
      <c r="AA3" s="181" t="s">
        <v>172</v>
      </c>
      <c r="AB3" s="187" t="s">
        <v>173</v>
      </c>
      <c r="AC3" s="188" t="s"/>
      <c r="AD3" s="176">
        <f>=B3</f>
        <v>0</v>
      </c>
      <c r="AE3" s="176">
        <f>=G3</f>
        <v>0</v>
      </c>
      <c r="AF3" s="176">
        <f>=L3</f>
        <v>0</v>
      </c>
      <c r="AG3" s="176">
        <f>=Q3</f>
        <v>0</v>
      </c>
      <c r="AH3" s="176">
        <f>=S3</f>
        <v>0</v>
      </c>
      <c r="AI3" s="176">
        <f>=U3</f>
        <v>0</v>
      </c>
      <c r="AK3" s="189" t="s"/>
      <c r="AL3" s="189" t="s"/>
      <c r="AM3" s="189" t="s"/>
    </row>
    <row r="4" spans="1:39" ht="16.5" customHeight="1">
      <c r="A4" s="190" t="s"/>
      <c r="B4" s="191" t="s">
        <v>172</v>
      </c>
      <c r="C4" s="192" t="s">
        <v>172</v>
      </c>
      <c r="D4" s="193" t="s"/>
      <c r="E4" s="192" t="s">
        <v>172</v>
      </c>
      <c r="F4" s="192" t="s">
        <v>172</v>
      </c>
      <c r="G4" s="191" t="s">
        <v>172</v>
      </c>
      <c r="H4" s="192" t="s">
        <v>172</v>
      </c>
      <c r="I4" s="193" t="s"/>
      <c r="J4" s="192" t="s">
        <v>172</v>
      </c>
      <c r="K4" s="192" t="s">
        <v>172</v>
      </c>
      <c r="L4" s="191" t="s">
        <v>172</v>
      </c>
      <c r="M4" s="192" t="s">
        <v>172</v>
      </c>
      <c r="N4" s="193" t="s"/>
      <c r="O4" s="192" t="s">
        <v>172</v>
      </c>
      <c r="P4" s="192" t="s">
        <v>172</v>
      </c>
      <c r="Q4" s="192" t="s">
        <v>172</v>
      </c>
      <c r="R4" s="193" t="s"/>
      <c r="S4" s="192" t="s">
        <v>172</v>
      </c>
      <c r="T4" s="193" t="s"/>
      <c r="U4" s="192" t="s">
        <v>172</v>
      </c>
      <c r="V4" s="193" t="s"/>
      <c r="W4" s="188" t="s"/>
      <c r="X4" s="190" t="s"/>
      <c r="Y4" s="190" t="s"/>
      <c r="Z4" s="190" t="s"/>
      <c r="AA4" s="190" t="s"/>
      <c r="AB4" s="194" t="s">
        <v>174</v>
      </c>
      <c r="AC4" s="195" t="s"/>
      <c r="AJ4" s="176">
        <f>=IF(AB4="hit数",120,300)</f>
        <v>300</v>
      </c>
      <c r="AK4" s="189" t="s"/>
      <c r="AL4" s="189" t="s"/>
      <c r="AM4" s="189" t="s"/>
    </row>
    <row r="5" spans="1:39" ht="16.5" customHeight="1">
      <c r="A5" s="196">
        <v>1</v>
      </c>
      <c r="B5" s="196" t="s"/>
      <c r="C5" s="197" t="s"/>
      <c r="D5" s="169" t="s"/>
      <c r="E5" s="169" t="s"/>
      <c r="F5" s="170" t="s"/>
      <c r="G5" s="196" t="s"/>
      <c r="H5" s="197" t="s"/>
      <c r="I5" s="169" t="s"/>
      <c r="J5" s="169" t="s"/>
      <c r="K5" s="170" t="s"/>
      <c r="L5" s="196" t="s"/>
      <c r="M5" s="197" t="s"/>
      <c r="N5" s="169" t="s"/>
      <c r="O5" s="169" t="s"/>
      <c r="P5" s="170" t="s"/>
      <c r="Q5" s="181" t="s">
        <f>=IF(OR(COUNTIF(AD3:AI3,0)&gt;0,COUNTIF(AD5:AF5,0)&gt;0),"",INDEX(AD3:AI3,MATCH(TRUE,ISNA(MATCH(AD3:AI3,AD5:AF5,0)),0)))</f>
      </c>
      <c r="R5" s="171" t="s"/>
      <c r="S5" s="198" t="s">
        <f>=IF(OR(COUNTIF(AD3:AI3,0)&gt;0,COUNTIF(AD5:AG5,0)&gt;0),"",INDEX(AD3:AI3,MATCH(TRUE,ISNA(MATCH(AD3:AI3,AD5:AG5,0)),0)))</f>
      </c>
      <c r="T5" s="199" t="s"/>
      <c r="U5" s="181" t="s">
        <f>=IF(OR(COUNTIF(AD3:AI3,0)&gt;0,COUNTIF(AD5:AH5,0)&gt;0),"",INDEX(AD3:AI3,MATCH(TRUE,ISNA(MATCH(AD3:AI3,AD5:AH5,0)),0)))</f>
      </c>
      <c r="V5" s="171" t="s"/>
      <c r="W5" s="200" t="s"/>
      <c r="X5" s="201" t="s"/>
      <c r="Y5" s="181">
        <f>=W3+X3</f>
        <v>0</v>
      </c>
      <c r="Z5" s="181">
        <f>=IF(Y5&lt;$AJ$4,Y5,$AJ$4)</f>
        <v>0</v>
      </c>
      <c r="AA5" s="181">
        <f>=F6+K6+P6</f>
        <v>0</v>
      </c>
      <c r="AB5" s="195" t="s"/>
      <c r="AC5" s="195" t="s"/>
      <c r="AD5" s="176">
        <f>=B5</f>
        <v>0</v>
      </c>
      <c r="AE5" s="176">
        <f>=G5</f>
        <v>0</v>
      </c>
      <c r="AF5" s="176">
        <f>=L5</f>
        <v>0</v>
      </c>
      <c r="AG5" s="176" t="s">
        <f>=Q5</f>
      </c>
      <c r="AH5" s="176" t="s">
        <f>=S5</f>
      </c>
      <c r="AI5" s="176" t="s">
        <f>=U5</f>
      </c>
      <c r="AK5" s="189" t="s"/>
      <c r="AL5" s="189" t="s"/>
      <c r="AM5" s="189" t="s"/>
    </row>
    <row r="6" spans="1:39" ht="16.5" customHeight="1">
      <c r="A6" s="177" t="s"/>
      <c r="B6" s="202" t="e">
        <f>=CHOOSE(MATCH(B5,B3:U3,0),D4,0,0,0,0,I4,0,0,0,0,N4,0,0,0,0,R4,0,T4,0,V4)</f>
        <v>#N/A</v>
      </c>
      <c r="C6" s="193" t="s"/>
      <c r="D6" s="193" t="s"/>
      <c r="E6" s="186" t="s"/>
      <c r="F6" s="203" t="s"/>
      <c r="G6" s="202" t="e">
        <f>=CHOOSE(MATCH(G5,B3:U3,0),D4,0,0,0,0,I4,0,0,0,0,N4,0,0,0,0,R4,0,T4,0,V4)</f>
        <v>#N/A</v>
      </c>
      <c r="H6" s="193" t="s"/>
      <c r="I6" s="193" t="s"/>
      <c r="J6" s="186" t="s"/>
      <c r="K6" s="203" t="s"/>
      <c r="L6" s="202" t="e">
        <f>=CHOOSE(MATCH(L5,B3:U3,0),D4,0,0,0,0,I4,0,0,0,0,N4,0,0,0,0,R4,0,T4,0,V4)</f>
        <v>#N/A</v>
      </c>
      <c r="M6" s="193" t="s"/>
      <c r="N6" s="193" t="s"/>
      <c r="O6" s="186" t="s"/>
      <c r="P6" s="203" t="s"/>
      <c r="Q6" s="181" t="e">
        <f>=CHOOSE(MATCH(Q5,B3:U3,0),D4,0,0,0,0,I4,0,0,0,0,N4,0,0,0,0,R4,0,T4,0,V4)</f>
        <v>#N/A</v>
      </c>
      <c r="R6" s="193" t="s"/>
      <c r="S6" s="181" t="e">
        <f>=CHOOSE(MATCH(S5,B3:U3,0),D4,0,0,0,0,I4,0,0,0,0,N4,0,0,0,0,R4,0,T4,0,V4)</f>
        <v>#N/A</v>
      </c>
      <c r="T6" s="193" t="s"/>
      <c r="U6" s="181" t="e">
        <f>=CHOOSE(MATCH(U5,B3:U3,0),D4,0,0,0,0,I4,0,0,0,0,N4,0,0,0,0,R4,0,T4,0,V4)</f>
        <v>#N/A</v>
      </c>
      <c r="V6" s="193" t="s"/>
      <c r="W6" s="188" t="s"/>
      <c r="X6" s="204" t="s"/>
      <c r="Y6" s="171" t="s"/>
      <c r="Z6" s="171" t="s"/>
      <c r="AA6" s="190" t="s"/>
      <c r="AB6" s="195" t="s"/>
      <c r="AC6" s="195" t="s"/>
      <c r="AK6" s="189" t="s"/>
      <c r="AL6" s="189" t="s"/>
      <c r="AM6" s="189" t="s"/>
    </row>
    <row r="7" spans="1:39" ht="16.5" customHeight="1">
      <c r="A7" s="196" t="s"/>
      <c r="B7" s="196" t="s"/>
      <c r="C7" s="197" t="s"/>
      <c r="D7" s="169" t="s"/>
      <c r="E7" s="169" t="s"/>
      <c r="F7" s="170" t="s"/>
      <c r="G7" s="196" t="s"/>
      <c r="H7" s="197" t="s"/>
      <c r="I7" s="169" t="s"/>
      <c r="J7" s="169" t="s"/>
      <c r="K7" s="170" t="s"/>
      <c r="L7" s="196" t="s"/>
      <c r="M7" s="197" t="s"/>
      <c r="N7" s="169" t="s"/>
      <c r="O7" s="169" t="s"/>
      <c r="P7" s="170" t="s"/>
      <c r="Q7" s="181" t="s">
        <f>=IF(OR(COUNTIF(AD5:AI5,0)&gt;0,COUNTIF(AD7:AF7,0)&gt;0),"",INDEX(AD5:AI5,MATCH(TRUE,ISNA(MATCH(AD5:AI5,AD7:AF7,0)),0)))</f>
      </c>
      <c r="R7" s="171" t="s"/>
      <c r="S7" s="198" t="s">
        <f>=IF(OR(COUNTIF(AD5:AI5,0)&gt;0,COUNTIF(AD7:AG7,0)&gt;0),"",INDEX(AD5:AI5,MATCH(TRUE,ISNA(MATCH(AD5:AI5,AD7:AG7,0)),0)))</f>
      </c>
      <c r="T7" s="199" t="s"/>
      <c r="U7" s="181" t="s">
        <f>=IF(OR(COUNTIF(AD5:AI5,0)&gt;0,COUNTIF(AD7:AH7,0)&gt;0),"",INDEX(AD5:AI5,MATCH(TRUE,ISNA(MATCH(AD5:AI5,AD7:AH7,0)),0)))</f>
      </c>
      <c r="V7" s="171" t="s"/>
      <c r="W7" s="200" t="s"/>
      <c r="X7" s="200" t="s"/>
      <c r="Y7" s="181">
        <f>=IF(OR(A5="前置OD1",A5="后置OD1"),AK7,IF(OR(A5="前置OD2",A5="后置OD2"),AL7,IF(OR(A5="前置OD3",A5="后置OD3"),AM7,IF(LEFT(A7,2)="后置",Y5+E6+J6+O6+W5,Y5+E6+J6+O6+W5+X5))))</f>
        <v>0</v>
      </c>
      <c r="Z7" s="181">
        <f>=IF(Y7&lt;$AJ$4,Y7,$AJ$4)</f>
        <v>0</v>
      </c>
      <c r="AA7" s="181">
        <f>=F8+K8+P8</f>
        <v>0</v>
      </c>
      <c r="AB7" s="205" t="s">
        <v>176</v>
      </c>
      <c r="AC7" s="195" t="s"/>
      <c r="AD7" s="176">
        <f>=B7</f>
        <v>0</v>
      </c>
      <c r="AE7" s="176">
        <f>=G7</f>
        <v>0</v>
      </c>
      <c r="AF7" s="176">
        <f>=L7</f>
        <v>0</v>
      </c>
      <c r="AG7" s="176" t="s">
        <f>=Q7</f>
      </c>
      <c r="AH7" s="176" t="s">
        <f>=S7</f>
      </c>
      <c r="AI7" s="176" t="s">
        <f>=U7</f>
      </c>
      <c r="AK7" s="189">
        <f>=Z5-$AJ$4/3+E6+J6+O6+X5</f>
        <v>-100</v>
      </c>
      <c r="AL7" s="189">
        <f>=Z5-$AJ$4/3*2+E6+J6+O6+X5</f>
        <v>-200</v>
      </c>
      <c r="AM7" s="189">
        <f>=Z5-$AJ$4+E6+J6+O6+X5</f>
        <v>-300</v>
      </c>
    </row>
    <row r="8" spans="1:39" ht="16.5" customHeight="1">
      <c r="A8" s="206" t="s"/>
      <c r="B8" s="202" t="e">
        <f>=CHOOSE(MATCH(B7,B5:U5,0),B6-C6+D6,0,0,0,0,G6-H6+I6,0,0,0,0,L6-M6+N6,0,0,0,0,Q6+R6,0,S6+T6,0,U6+V6)</f>
        <v>#N/A</v>
      </c>
      <c r="C8" s="193" t="s"/>
      <c r="D8" s="193" t="s"/>
      <c r="E8" s="186" t="s"/>
      <c r="F8" s="203" t="s"/>
      <c r="G8" s="202" t="e">
        <f>=CHOOSE(MATCH(G7,B5:U5,0),B6-C6+D6,0,0,0,0,G6-H6+I6,0,0,0,0,L6-M6+N6,0,0,0,0,Q6+R6,0,S6+T6,0,U6+V6)</f>
        <v>#N/A</v>
      </c>
      <c r="H8" s="193" t="s"/>
      <c r="I8" s="193" t="s"/>
      <c r="J8" s="186" t="s"/>
      <c r="K8" s="203" t="s"/>
      <c r="L8" s="202" t="e">
        <f>=CHOOSE(MATCH(L7,B5:U5,0),B6-C6+D6,0,0,0,0,G6-H6+I6,0,0,0,0,L6-M6+N6,0,0,0,0,Q6+R6,0,S6+T6,0,U6+V6)</f>
        <v>#N/A</v>
      </c>
      <c r="M8" s="193" t="s"/>
      <c r="N8" s="193" t="s"/>
      <c r="O8" s="186" t="s"/>
      <c r="P8" s="203" t="s"/>
      <c r="Q8" s="181" t="e">
        <f>=CHOOSE(MATCH(Q7,B5:U5,0),B6-C6+D6,0,0,0,0,G6-H6+I6,0,0,0,0,L6-M6+N6,0,0,0,0,Q6+R6,0,S6+T6,0,U6+V6)</f>
        <v>#N/A</v>
      </c>
      <c r="R8" s="193" t="s"/>
      <c r="S8" s="181" t="e">
        <f>=CHOOSE(MATCH(S7,B5:U5,0),B6-C6+D6,0,0,0,0,G6-H6+I6,0,0,0,0,L6-M6+N6,0,0,0,0,Q6+R6,0,S6+T6,0,U6+V6)</f>
        <v>#N/A</v>
      </c>
      <c r="T8" s="193" t="s"/>
      <c r="U8" s="181" t="e">
        <f>=CHOOSE(MATCH(U7,B5:U5,0),B6-C6+D6,0,0,0,0,G6-H6+I6,0,0,0,0,L6-M6+N6,0,0,0,0,Q6+R6,0,S6+T6,0,U6+V6)</f>
        <v>#N/A</v>
      </c>
      <c r="V8" s="193" t="s"/>
      <c r="W8" s="188" t="s"/>
      <c r="X8" s="207" t="s"/>
      <c r="Y8" s="208" t="s"/>
      <c r="Z8" s="208" t="s"/>
      <c r="AA8" s="209" t="s"/>
      <c r="AB8" s="195" t="s">
        <v>206</v>
      </c>
      <c r="AC8" s="195" t="s"/>
      <c r="AK8" s="176" t="s"/>
      <c r="AL8" s="176" t="s"/>
      <c r="AM8" s="176" t="s"/>
    </row>
    <row r="9" spans="1:39" ht="16.5" customHeight="1">
      <c r="A9" s="196" t="s"/>
      <c r="B9" s="196" t="s"/>
      <c r="C9" s="197" t="s"/>
      <c r="D9" s="169" t="s"/>
      <c r="E9" s="169" t="s"/>
      <c r="F9" s="170" t="s"/>
      <c r="G9" s="196" t="s"/>
      <c r="H9" s="197" t="s"/>
      <c r="I9" s="169" t="s"/>
      <c r="J9" s="169" t="s"/>
      <c r="K9" s="170" t="s"/>
      <c r="L9" s="196" t="s"/>
      <c r="M9" s="197" t="s"/>
      <c r="N9" s="169" t="s"/>
      <c r="O9" s="169" t="s"/>
      <c r="P9" s="170" t="s"/>
      <c r="Q9" s="181" t="s">
        <f>=IF(OR(COUNTIF(AD7:AI7,0)&gt;0,COUNTIF(AD9:AF9,0)&gt;0),"",INDEX(AD7:AI7,MATCH(TRUE,ISNA(MATCH(AD7:AI7,AD9:AF9,0)),0)))</f>
      </c>
      <c r="R9" s="171" t="s"/>
      <c r="S9" s="198" t="s">
        <f>=IF(OR(COUNTIF(AD7:AI7,0)&gt;0,COUNTIF(AD9:AG9,0)&gt;0),"",INDEX(AD7:AI7,MATCH(TRUE,ISNA(MATCH(AD7:AI7,AD9:AG9,0)),0)))</f>
      </c>
      <c r="T9" s="199" t="s"/>
      <c r="U9" s="181" t="s">
        <f>=IF(OR(COUNTIF(AD7:AI7,0)&gt;0,COUNTIF(AD9:AH9,0)&gt;0),"",INDEX(AD7:AI7,MATCH(TRUE,ISNA(MATCH(AD7:AI7,AD9:AH9,0)),0)))</f>
      </c>
      <c r="V9" s="171" t="s"/>
      <c r="W9" s="200" t="s"/>
      <c r="X9" s="200" t="s"/>
      <c r="Y9" s="181">
        <f>=IF(OR(A7="前置OD1",A7="后置OD1"),AK9,IF(OR(A7="前置OD2",A7="后置OD2"),AL9,IF(OR(A7="前置OD3",A7="后置OD3"),AM9,IF(LEFT(A9,2)="后置",Y7+E8+J8+O8+W7,Y7+E8+J8+O8+W7+X7))))</f>
        <v>0</v>
      </c>
      <c r="Z9" s="181">
        <f>=IF(Y9&lt;$AJ$4,Y9,$AJ$4)</f>
        <v>0</v>
      </c>
      <c r="AA9" s="181">
        <f>=F10+K10+P10</f>
        <v>0</v>
      </c>
      <c r="AB9" s="195" t="s"/>
      <c r="AC9" s="195" t="s"/>
      <c r="AD9" s="176">
        <f>=B9</f>
        <v>0</v>
      </c>
      <c r="AE9" s="176">
        <f>=G9</f>
        <v>0</v>
      </c>
      <c r="AF9" s="176">
        <f>=L9</f>
        <v>0</v>
      </c>
      <c r="AG9" s="176" t="s">
        <f>=Q9</f>
      </c>
      <c r="AH9" s="176" t="s">
        <f>=S9</f>
      </c>
      <c r="AI9" s="176" t="s">
        <f>=U9</f>
      </c>
      <c r="AK9" s="189">
        <f>=Z7-$AJ$4/3+E8+J8+O8+X7</f>
        <v>-100</v>
      </c>
      <c r="AL9" s="189">
        <f>=Z7-$AJ$4/3*2+E8+J8+O8+X7</f>
        <v>-200</v>
      </c>
      <c r="AM9" s="189">
        <f>=Z7-$AJ$4+E8+J8+O8+X7</f>
        <v>-300</v>
      </c>
    </row>
    <row r="10" spans="1:39" ht="16.5" customHeight="1">
      <c r="A10" s="206" t="s"/>
      <c r="B10" s="202" t="e">
        <f>=CHOOSE(MATCH(B9,B7:U7,0),B8-C8+D8,0,0,0,0,G8-H8+I8,0,0,0,0,L8-M8+N8,0,0,0,0,Q8+R8,0,S8+T8,0,U8+V8)</f>
        <v>#N/A</v>
      </c>
      <c r="C10" s="193" t="s"/>
      <c r="D10" s="193" t="s"/>
      <c r="E10" s="186" t="s"/>
      <c r="F10" s="203" t="s"/>
      <c r="G10" s="202" t="e">
        <f>=CHOOSE(MATCH(G9,B7:U7,0),B8-C8+D8,0,0,0,0,G8-H8+I8,0,0,0,0,L8-M8+N8,0,0,0,0,Q8+R8,0,S8+T8,0,U8+V8)</f>
        <v>#N/A</v>
      </c>
      <c r="H10" s="193" t="s"/>
      <c r="I10" s="193" t="s"/>
      <c r="J10" s="186" t="s"/>
      <c r="K10" s="203" t="s"/>
      <c r="L10" s="202" t="e">
        <f>=CHOOSE(MATCH(L9,B7:U7,0),B8-C8+D8,0,0,0,0,G8-H8+I8,0,0,0,0,L8-M8+N8,0,0,0,0,Q8+R8,0,S8+T8,0,U8+V8)</f>
        <v>#N/A</v>
      </c>
      <c r="M10" s="193" t="s"/>
      <c r="N10" s="193" t="s"/>
      <c r="O10" s="186" t="s"/>
      <c r="P10" s="203" t="s"/>
      <c r="Q10" s="181" t="e">
        <f>=CHOOSE(MATCH(Q9,B7:U7,0),B8-C8+D8,0,0,0,0,G8-H8+I8,0,0,0,0,L8-M8+N8,0,0,0,0,Q8+R8,0,S8+T8,0,U8+V8)</f>
        <v>#N/A</v>
      </c>
      <c r="R10" s="193" t="s"/>
      <c r="S10" s="181" t="e">
        <f>=CHOOSE(MATCH(S9,B7:U7,0),B8-C8+D8,0,0,0,0,G8-H8+I8,0,0,0,0,L8-M8+N8,0,0,0,0,Q8+R8,0,S8+T8,0,U8+V8)</f>
        <v>#N/A</v>
      </c>
      <c r="T10" s="193" t="s"/>
      <c r="U10" s="181" t="e">
        <f>=CHOOSE(MATCH(U9,B7:U7,0),B8-C8+D8,0,0,0,0,G8-H8+I8,0,0,0,0,L8-M8+N8,0,0,0,0,Q8+R8,0,S8+T8,0,U8+V8)</f>
        <v>#N/A</v>
      </c>
      <c r="V10" s="193" t="s"/>
      <c r="W10" s="188" t="s"/>
      <c r="X10" s="204" t="s"/>
      <c r="Y10" s="181" t="s"/>
      <c r="Z10" s="208" t="s"/>
      <c r="AA10" s="209" t="s"/>
      <c r="AB10" s="195" t="s"/>
      <c r="AC10" s="195" t="s"/>
      <c r="AK10" s="176" t="s"/>
      <c r="AL10" s="176" t="s"/>
      <c r="AM10" s="176" t="s"/>
    </row>
    <row r="11" spans="1:39" ht="16.5" customHeight="1">
      <c r="A11" s="196" t="s"/>
      <c r="B11" s="196" t="s"/>
      <c r="C11" s="197" t="s"/>
      <c r="D11" s="169" t="s"/>
      <c r="E11" s="169" t="s"/>
      <c r="F11" s="170" t="s"/>
      <c r="G11" s="196" t="s"/>
      <c r="H11" s="197" t="s"/>
      <c r="I11" s="169" t="s"/>
      <c r="J11" s="169" t="s"/>
      <c r="K11" s="170" t="s"/>
      <c r="L11" s="196" t="s"/>
      <c r="M11" s="197" t="s"/>
      <c r="N11" s="169" t="s"/>
      <c r="O11" s="169" t="s"/>
      <c r="P11" s="170" t="s"/>
      <c r="Q11" s="181" t="s">
        <f>=IF(OR(COUNTIF(AD9:AI9,0)&gt;0,COUNTIF(AD11:AF11,0)&gt;0),"",INDEX(AD9:AI9,MATCH(TRUE,ISNA(MATCH(AD9:AI9,AD11:AF11,0)),0)))</f>
      </c>
      <c r="R11" s="171" t="s"/>
      <c r="S11" s="198" t="s">
        <f>=IF(OR(COUNTIF(AD9:AI9,0)&gt;0,COUNTIF(AD11:AG11,0)&gt;0),"",INDEX(AD9:AI9,MATCH(TRUE,ISNA(MATCH(AD9:AI9,AD11:AG11,0)),0)))</f>
      </c>
      <c r="T11" s="199" t="s"/>
      <c r="U11" s="181" t="s">
        <f>=IF(OR(COUNTIF(AD9:AI9,0)&gt;0,COUNTIF(AD11:AH11,0)&gt;0),"",INDEX(AD9:AI9,MATCH(TRUE,ISNA(MATCH(AD9:AI9,AD11:AH11,0)),0)))</f>
      </c>
      <c r="V11" s="171" t="s"/>
      <c r="W11" s="200" t="s"/>
      <c r="X11" s="200" t="s"/>
      <c r="Y11" s="181">
        <f>=IF(OR(A9="前置OD1",A9="后置OD1"),AK11,IF(OR(A9="前置OD2",A9="后置OD2"),AL11,IF(OR(A9="前置OD3",A9="后置OD3"),AM11,IF(LEFT(A11,2)="后置",Y9+E10+J10+O10+W9,Y9+E10+J10+O10+W9+X9))))</f>
        <v>0</v>
      </c>
      <c r="Z11" s="181">
        <f>=IF(Y11&lt;$AJ$4,Y11,$AJ$4)</f>
        <v>0</v>
      </c>
      <c r="AA11" s="181">
        <f>=F12+K12+P12</f>
        <v>0</v>
      </c>
      <c r="AB11" s="195" t="s"/>
      <c r="AC11" s="195" t="s"/>
      <c r="AD11" s="176">
        <f>=B11</f>
        <v>0</v>
      </c>
      <c r="AE11" s="176">
        <f>=G11</f>
        <v>0</v>
      </c>
      <c r="AF11" s="176">
        <f>=L11</f>
        <v>0</v>
      </c>
      <c r="AG11" s="176" t="s">
        <f>=Q11</f>
      </c>
      <c r="AH11" s="176" t="s">
        <f>=S11</f>
      </c>
      <c r="AI11" s="176" t="s">
        <f>=U11</f>
      </c>
      <c r="AK11" s="189">
        <f>=Z9-$AJ$4/3+E10+J10+O10+X9</f>
        <v>-100</v>
      </c>
      <c r="AL11" s="189">
        <f>=Z9-$AJ$4/3*2+E10+J10+O10+X9</f>
        <v>-200</v>
      </c>
      <c r="AM11" s="189">
        <f>=Z9-$AJ$4+E10+J10+O10+X9</f>
        <v>-300</v>
      </c>
    </row>
    <row r="12" spans="1:39" ht="16.5" customHeight="1">
      <c r="A12" s="206" t="s"/>
      <c r="B12" s="202" t="e">
        <f>=CHOOSE(MATCH(B11,B9:U9,0),B10-C10+D10,0,0,0,0,G10-H10+I10,0,0,0,0,L10-M10+N10,0,0,0,0,Q10+R10,0,S10+T10,0,U10+V10)</f>
        <v>#N/A</v>
      </c>
      <c r="C12" s="193" t="s"/>
      <c r="D12" s="180" t="s"/>
      <c r="E12" s="186" t="s"/>
      <c r="F12" s="203" t="s"/>
      <c r="G12" s="202" t="e">
        <f>=CHOOSE(MATCH(G11,B9:U9,0),B10-C10+D10,0,0,0,0,G10-H10+I10,0,0,0,0,L10-M10+N10,0,0,0,0,Q10+R10,0,S10+T10,0,U10+V10)</f>
        <v>#N/A</v>
      </c>
      <c r="H12" s="193" t="s"/>
      <c r="I12" s="180" t="s"/>
      <c r="J12" s="186" t="s"/>
      <c r="K12" s="203" t="s"/>
      <c r="L12" s="202" t="e">
        <f>=CHOOSE(MATCH(L11,B9:U9,0),B10-C10+D10,0,0,0,0,G10-H10+I10,0,0,0,0,L10-M10+N10,0,0,0,0,Q10+R10,0,S10+T10,0,U10+V10)</f>
        <v>#N/A</v>
      </c>
      <c r="M12" s="193" t="s"/>
      <c r="N12" s="180" t="s"/>
      <c r="O12" s="186" t="s"/>
      <c r="P12" s="203" t="s"/>
      <c r="Q12" s="181" t="e">
        <f>=CHOOSE(MATCH(Q11,B9:U9,0),B10-C10+D10,0,0,0,0,G10-H10+I10,0,0,0,0,L10-M10+N10,0,0,0,0,Q10+R10,0,S10+T10,0,U10+V10)</f>
        <v>#N/A</v>
      </c>
      <c r="R12" s="180" t="s"/>
      <c r="S12" s="181" t="e">
        <f>=CHOOSE(MATCH(S11,B9:U9,0),B10-C10+D10,0,0,0,0,G10-H10+I10,0,0,0,0,L10-M10+N10,0,0,0,0,Q10+R10,0,S10+T10,0,U10+V10)</f>
        <v>#N/A</v>
      </c>
      <c r="T12" s="180" t="s"/>
      <c r="U12" s="181" t="e">
        <f>=CHOOSE(MATCH(U11,B9:U9,0),B10-C10+D10,0,0,0,0,G10-H10+I10,0,0,0,0,L10-M10+N10,0,0,0,0,Q10+R10,0,S10+T10,0,U10+V10)</f>
        <v>#N/A</v>
      </c>
      <c r="V12" s="180" t="s"/>
      <c r="W12" s="188" t="s"/>
      <c r="X12" s="207" t="s"/>
      <c r="Y12" s="181" t="s"/>
      <c r="Z12" s="208" t="s"/>
      <c r="AA12" s="209" t="s"/>
      <c r="AB12" s="195" t="s"/>
      <c r="AC12" s="195" t="s"/>
      <c r="AK12" s="176" t="s"/>
      <c r="AL12" s="176" t="s"/>
      <c r="AM12" s="176" t="s"/>
    </row>
    <row r="13" spans="1:39" ht="16.5" customHeight="1">
      <c r="A13" s="196" t="s"/>
      <c r="B13" s="196" t="s"/>
      <c r="C13" s="197" t="s"/>
      <c r="D13" s="169" t="s"/>
      <c r="E13" s="169" t="s"/>
      <c r="F13" s="170" t="s"/>
      <c r="G13" s="196" t="s"/>
      <c r="H13" s="197" t="s"/>
      <c r="I13" s="169" t="s"/>
      <c r="J13" s="169" t="s"/>
      <c r="K13" s="170" t="s"/>
      <c r="L13" s="196" t="s"/>
      <c r="M13" s="197" t="s"/>
      <c r="N13" s="169" t="s"/>
      <c r="O13" s="169" t="s"/>
      <c r="P13" s="170" t="s"/>
      <c r="Q13" s="181" t="s">
        <f>=IF(OR(COUNTIF(AD11:AI11,0)&gt;0,COUNTIF(AD13:AF13,0)&gt;0),"",INDEX(AD11:AI11,MATCH(TRUE,ISNA(MATCH(AD11:AI11,AD13:AF13,0)),0)))</f>
      </c>
      <c r="R13" s="171" t="s"/>
      <c r="S13" s="198" t="s">
        <f>=IF(OR(COUNTIF(AD11:AI11,0)&gt;0,COUNTIF(AD13:AG13,0)&gt;0),"",INDEX(AD11:AI11,MATCH(TRUE,ISNA(MATCH(AD11:AI11,AD13:AG13,0)),0)))</f>
      </c>
      <c r="T13" s="199" t="s"/>
      <c r="U13" s="181" t="s">
        <f>=IF(OR(COUNTIF(AD11:AI11,0)&gt;0,COUNTIF(AD13:AH13,0)&gt;0),"",INDEX(AD11:AI11,MATCH(TRUE,ISNA(MATCH(AD11:AI11,AD13:AH13,0)),0)))</f>
      </c>
      <c r="V13" s="171" t="s"/>
      <c r="W13" s="200" t="s"/>
      <c r="X13" s="200" t="s"/>
      <c r="Y13" s="181">
        <f>=IF(OR(A11="前置OD1",A11="后置OD1"),AK13,IF(OR(A11="前置OD2",A11="后置OD2"),AL13,IF(OR(A11="前置OD3",A11="后置OD3"),AM13,IF(LEFT(A13,2)="后置",Y11+E12+J12+O12+W11,Y11+E12+J12+O12+W11+X11))))</f>
        <v>0</v>
      </c>
      <c r="Z13" s="181">
        <f>=IF(Y13&lt;$AJ$4,Y13,$AJ$4)</f>
        <v>0</v>
      </c>
      <c r="AA13" s="181">
        <f>=F14+K14+P14</f>
        <v>0</v>
      </c>
      <c r="AB13" s="195" t="s"/>
      <c r="AC13" s="195" t="s"/>
      <c r="AD13" s="176">
        <f>=B13</f>
        <v>0</v>
      </c>
      <c r="AE13" s="176">
        <f>=G13</f>
        <v>0</v>
      </c>
      <c r="AF13" s="176">
        <f>=L13</f>
        <v>0</v>
      </c>
      <c r="AG13" s="176" t="s">
        <f>=Q13</f>
      </c>
      <c r="AH13" s="176" t="s">
        <f>=S13</f>
      </c>
      <c r="AI13" s="176" t="s">
        <f>=U13</f>
      </c>
      <c r="AK13" s="189">
        <f>=Z11-$AJ$4/3+E12+J12+O12+X11</f>
        <v>-100</v>
      </c>
      <c r="AL13" s="189">
        <f>=Z11-$AJ$4/3*2+E12+J12+O12+X11</f>
        <v>-200</v>
      </c>
      <c r="AM13" s="189">
        <f>=Z11-$AJ$4+E12+J12+O12+X11</f>
        <v>-300</v>
      </c>
    </row>
    <row r="14" spans="1:39" ht="16.5" customHeight="1">
      <c r="A14" s="206" t="s"/>
      <c r="B14" s="202" t="e">
        <f>=CHOOSE(MATCH(B13,B11:U11,0),B12-C12+D12,0,0,0,0,G12-H12+I12,0,0,0,0,L12-M12+N12,0,0,0,0,Q12+R12,0,S12+T12,0,U12+V12)</f>
        <v>#N/A</v>
      </c>
      <c r="C14" s="180" t="s"/>
      <c r="D14" s="180" t="s"/>
      <c r="E14" s="185" t="s"/>
      <c r="F14" s="203" t="s"/>
      <c r="G14" s="202" t="e">
        <f>=CHOOSE(MATCH(G13,B11:U11,0),B12-C12+D12,0,0,0,0,G12-H12+I12,0,0,0,0,L12-M12+N12,0,0,0,0,Q12+R12,0,S12+T12,0,U12+V12)</f>
        <v>#N/A</v>
      </c>
      <c r="H14" s="193" t="s"/>
      <c r="I14" s="180" t="s"/>
      <c r="J14" s="185" t="s"/>
      <c r="K14" s="203" t="s"/>
      <c r="L14" s="202" t="e">
        <f>=CHOOSE(MATCH(L13,B11:U11,0),B12-C12+D12,0,0,0,0,G12-H12+I12,0,0,0,0,L12-M12+N12,0,0,0,0,Q12+R12,0,S12+T12,0,U12+V12)</f>
        <v>#N/A</v>
      </c>
      <c r="M14" s="193" t="s"/>
      <c r="N14" s="180" t="s"/>
      <c r="O14" s="185" t="s"/>
      <c r="P14" s="203" t="s"/>
      <c r="Q14" s="181" t="e">
        <f>=CHOOSE(MATCH(Q13,B11:U11,0),B12-C12+D12,0,0,0,0,G12-H12+I12,0,0,0,0,L12-M12+N12,0,0,0,0,Q12+R12,0,S12+T12,0,U12+V12)</f>
        <v>#N/A</v>
      </c>
      <c r="R14" s="180" t="s"/>
      <c r="S14" s="181" t="e">
        <f>=CHOOSE(MATCH(S13,B11:U11,0),B12-C12+D12,0,0,0,0,G12-H12+I12,0,0,0,0,L12-M12+N12,0,0,0,0,Q12+R12,0,S12+T12,0,U12+V12)</f>
        <v>#N/A</v>
      </c>
      <c r="T14" s="180" t="s"/>
      <c r="U14" s="181" t="e">
        <f>=CHOOSE(MATCH(U13,B11:U11,0),B12-C12+D12,0,0,0,0,G12-H12+I12,0,0,0,0,L12-M12+N12,0,0,0,0,Q12+R12,0,S12+T12,0,U12+V12)</f>
        <v>#N/A</v>
      </c>
      <c r="V14" s="180" t="s"/>
      <c r="W14" s="188" t="s"/>
      <c r="X14" s="204" t="s"/>
      <c r="Y14" s="181" t="s"/>
      <c r="Z14" s="208" t="s"/>
      <c r="AA14" s="209" t="s"/>
      <c r="AB14" s="195" t="s"/>
      <c r="AC14" s="195" t="s"/>
      <c r="AK14" s="176" t="s"/>
      <c r="AL14" s="176" t="s"/>
      <c r="AM14" s="176" t="s"/>
    </row>
    <row r="15" spans="1:39" ht="16.5" customHeight="1">
      <c r="A15" s="196" t="s"/>
      <c r="B15" s="196" t="s"/>
      <c r="C15" s="197" t="s"/>
      <c r="D15" s="169" t="s"/>
      <c r="E15" s="169" t="s"/>
      <c r="F15" s="170" t="s"/>
      <c r="G15" s="196" t="s"/>
      <c r="H15" s="197" t="s"/>
      <c r="I15" s="169" t="s"/>
      <c r="J15" s="169" t="s"/>
      <c r="K15" s="170" t="s"/>
      <c r="L15" s="196" t="s"/>
      <c r="M15" s="197" t="s"/>
      <c r="N15" s="169" t="s"/>
      <c r="O15" s="169" t="s"/>
      <c r="P15" s="170" t="s"/>
      <c r="Q15" s="181" t="s">
        <f>=IF(OR(COUNTIF(AD13:AI13,0)&gt;0,COUNTIF(AD15:AF15,0)&gt;0),"",INDEX(AD13:AI13,MATCH(TRUE,ISNA(MATCH(AD13:AI13,AD15:AF15,0)),0)))</f>
      </c>
      <c r="R15" s="171" t="s"/>
      <c r="S15" s="198" t="s">
        <f>=IF(OR(COUNTIF(AD13:AI13,0)&gt;0,COUNTIF(AD15:AG15,0)&gt;0),"",INDEX(AD13:AI13,MATCH(TRUE,ISNA(MATCH(AD13:AI13,AD15:AG15,0)),0)))</f>
      </c>
      <c r="T15" s="199" t="s"/>
      <c r="U15" s="181" t="s">
        <f>=IF(OR(COUNTIF(AD13:AI13,0)&gt;0,COUNTIF(AD15:AH15,0)&gt;0),"",INDEX(AD13:AI13,MATCH(TRUE,ISNA(MATCH(AD13:AI13,AD15:AH15,0)),0)))</f>
      </c>
      <c r="V15" s="171" t="s"/>
      <c r="W15" s="200" t="s"/>
      <c r="X15" s="200" t="s"/>
      <c r="Y15" s="181">
        <f>=IF(OR(A13="前置OD1",A13="后置OD1"),AK15,IF(OR(A13="前置OD2",A13="后置OD2"),AL15,IF(OR(A13="前置OD3",A13="后置OD3"),AM15,IF(LEFT(A15,2)="后置",Y13+E14+J14+O14+W13,Y13+E14+J14+O14+W13+X13))))</f>
        <v>0</v>
      </c>
      <c r="Z15" s="181">
        <f>=IF(Y15&lt;$AJ$4,Y15,$AJ$4)</f>
        <v>0</v>
      </c>
      <c r="AA15" s="181">
        <f>=F16+K16+P16</f>
        <v>0</v>
      </c>
      <c r="AB15" s="195" t="s"/>
      <c r="AC15" s="195" t="s"/>
      <c r="AD15" s="176">
        <f>=B15</f>
        <v>0</v>
      </c>
      <c r="AE15" s="176">
        <f>=G15</f>
        <v>0</v>
      </c>
      <c r="AF15" s="176">
        <f>=L15</f>
        <v>0</v>
      </c>
      <c r="AG15" s="176" t="s">
        <f>=Q15</f>
      </c>
      <c r="AH15" s="176" t="s">
        <f>=S15</f>
      </c>
      <c r="AI15" s="176" t="s">
        <f>=U15</f>
      </c>
      <c r="AK15" s="189">
        <f>=Z13-$AJ$4/3+E14+J14+O14+X13</f>
        <v>-100</v>
      </c>
      <c r="AL15" s="189">
        <f>=Z13-$AJ$4/3*2+E14+J14+O14+X13</f>
        <v>-200</v>
      </c>
      <c r="AM15" s="189">
        <f>=Z13-$AJ$4+E14+J14+O14+X13</f>
        <v>-300</v>
      </c>
    </row>
    <row r="16" spans="1:39" ht="16.5" customHeight="1">
      <c r="A16" s="206" t="s"/>
      <c r="B16" s="202" t="e">
        <f>=CHOOSE(MATCH(B15,B13:U13,0),B14-C14+D14,0,0,0,0,G14-H14+I14,0,0,0,0,L14-M14+N14,0,0,0,0,Q14+R14,0,S14+T14,0,U14+V14)</f>
        <v>#N/A</v>
      </c>
      <c r="C16" s="180" t="s"/>
      <c r="D16" s="180" t="s"/>
      <c r="E16" s="185" t="s"/>
      <c r="F16" s="203" t="s"/>
      <c r="G16" s="202" t="e">
        <f>=CHOOSE(MATCH(G15,B13:U13,0),B14-C14+D14,0,0,0,0,G14-H14+I14,0,0,0,0,L14-M14+N14,0,0,0,0,Q14+R14,0,S14+T14,0,U14+V14)</f>
        <v>#N/A</v>
      </c>
      <c r="H16" s="193" t="s"/>
      <c r="I16" s="193" t="s"/>
      <c r="J16" s="185" t="s"/>
      <c r="K16" s="203" t="s"/>
      <c r="L16" s="202" t="e">
        <f>=CHOOSE(MATCH(L15,B13:U13,0),B14-C14+D14,0,0,0,0,G14-H14+I14,0,0,0,0,L14-M14+N14,0,0,0,0,Q14+R14,0,S14+T14,0,U14+V14)</f>
        <v>#N/A</v>
      </c>
      <c r="M16" s="193" t="s"/>
      <c r="N16" s="193" t="s"/>
      <c r="O16" s="185" t="s"/>
      <c r="P16" s="203" t="s"/>
      <c r="Q16" s="181" t="e">
        <f>=CHOOSE(MATCH(Q15,B13:U13,0),B14-C14+D14,0,0,0,0,G14-H14+I14,0,0,0,0,L14-M14+N14,0,0,0,0,Q14+R14,0,S14+T14,0,U14+V14)</f>
        <v>#N/A</v>
      </c>
      <c r="R16" s="180" t="s"/>
      <c r="S16" s="181" t="e">
        <f>=CHOOSE(MATCH(S15,B13:U13,0),B14-C14+D14,0,0,0,0,G14-H14+I14,0,0,0,0,L14-M14+N14,0,0,0,0,Q14+R14,0,S14+T14,0,U14+V14)</f>
        <v>#N/A</v>
      </c>
      <c r="T16" s="180" t="s"/>
      <c r="U16" s="181" t="e">
        <f>=CHOOSE(MATCH(U15,B13:U13,0),B14-C14+D14,0,0,0,0,G14-H14+I14,0,0,0,0,L14-M14+N14,0,0,0,0,Q14+R14,0,S14+T14,0,U14+V14)</f>
        <v>#N/A</v>
      </c>
      <c r="V16" s="180" t="s"/>
      <c r="W16" s="188" t="s"/>
      <c r="X16" s="207" t="s"/>
      <c r="Y16" s="181" t="s"/>
      <c r="Z16" s="208" t="s"/>
      <c r="AA16" s="209" t="s"/>
      <c r="AB16" s="195" t="s"/>
      <c r="AC16" s="195" t="s"/>
      <c r="AK16" s="176" t="s"/>
      <c r="AL16" s="176" t="s"/>
      <c r="AM16" s="176" t="s"/>
    </row>
    <row r="17" spans="1:39" ht="16.5" customHeight="1">
      <c r="A17" s="210">
        <v>7</v>
      </c>
      <c r="B17" s="196" t="s"/>
      <c r="C17" s="197" t="s"/>
      <c r="D17" s="169" t="s"/>
      <c r="E17" s="169" t="s"/>
      <c r="F17" s="170" t="s"/>
      <c r="G17" s="196" t="s"/>
      <c r="H17" s="168" t="s"/>
      <c r="I17" s="169" t="s"/>
      <c r="J17" s="169" t="s"/>
      <c r="K17" s="170" t="s"/>
      <c r="L17" s="196" t="s"/>
      <c r="M17" s="197" t="s"/>
      <c r="N17" s="169" t="s"/>
      <c r="O17" s="169" t="s"/>
      <c r="P17" s="170" t="s"/>
      <c r="Q17" s="181" t="s">
        <f>=IF(OR(COUNTIF(AD15:AI15,0)&gt;0,COUNTIF(AD17:AF17,0)&gt;0),"",INDEX(AD15:AI15,MATCH(TRUE,ISNA(MATCH(AD15:AI15,AD17:AF17,0)),0)))</f>
      </c>
      <c r="R17" s="171" t="s"/>
      <c r="S17" s="198" t="s">
        <f>=IF(OR(COUNTIF(AD15:AI15,0)&gt;0,COUNTIF(AD17:AG17,0)&gt;0),"",INDEX(AD15:AI15,MATCH(TRUE,ISNA(MATCH(AD15:AI15,AD17:AG17,0)),0)))</f>
      </c>
      <c r="T17" s="199" t="s"/>
      <c r="U17" s="181" t="s">
        <f>=IF(OR(COUNTIF(AD15:AI15,0)&gt;0,COUNTIF(AD17:AH17,0)&gt;0),"",INDEX(AD15:AI15,MATCH(TRUE,ISNA(MATCH(AD15:AI15,AD17:AH17,0)),0)))</f>
      </c>
      <c r="V17" s="171" t="s"/>
      <c r="W17" s="200" t="s"/>
      <c r="X17" s="200" t="s"/>
      <c r="Y17" s="181">
        <f>=IF(OR(A15="前置OD1",A15="后置OD1"),AK17,IF(OR(A15="前置OD2",A15="后置OD2"),AL17,IF(OR(A15="前置OD3",A15="后置OD3"),AM17,IF(LEFT(A17,2)="后置",Y15+E16+J16+O16+W15,Y15+E16+J16+O16+W15+X15))))</f>
        <v>0</v>
      </c>
      <c r="Z17" s="181">
        <f>=IF(Y17&lt;$AJ$4,Y17,$AJ$4)</f>
        <v>0</v>
      </c>
      <c r="AA17" s="181">
        <f>=F18+K18+P18</f>
        <v>0</v>
      </c>
      <c r="AB17" s="195" t="s"/>
      <c r="AC17" s="195" t="s"/>
      <c r="AD17" s="176">
        <f>=B17</f>
        <v>0</v>
      </c>
      <c r="AE17" s="176">
        <f>=G17</f>
        <v>0</v>
      </c>
      <c r="AF17" s="176">
        <f>=L17</f>
        <v>0</v>
      </c>
      <c r="AG17" s="176" t="s">
        <f>=Q17</f>
      </c>
      <c r="AH17" s="176" t="s">
        <f>=S17</f>
      </c>
      <c r="AI17" s="176" t="s">
        <f>=U17</f>
      </c>
      <c r="AK17" s="189">
        <f>=Z15-$AJ$4/3+E16+J16+O16+X15</f>
        <v>-100</v>
      </c>
      <c r="AL17" s="189">
        <f>=Z15-$AJ$4/3*2+E16+J16+O16+X15</f>
        <v>-200</v>
      </c>
      <c r="AM17" s="189">
        <f>=Z15-$AJ$4+E16+J16+O16+X15</f>
        <v>-300</v>
      </c>
    </row>
    <row r="18" spans="1:39" ht="16.5" customHeight="1">
      <c r="A18" s="206" t="s"/>
      <c r="B18" s="202" t="e">
        <f>=CHOOSE(MATCH(B17,B15:U15,0),B16-C16+D16,0,0,0,0,G16-H16+I16,0,0,0,0,L16-M16+N16,0,0,0,0,Q16+R16,0,S16+T16,0,U16+V16)</f>
        <v>#N/A</v>
      </c>
      <c r="C18" s="180" t="s"/>
      <c r="D18" s="180" t="s"/>
      <c r="E18" s="185" t="s"/>
      <c r="F18" s="203" t="s"/>
      <c r="G18" s="202" t="e">
        <f>=CHOOSE(MATCH(G17,B15:U15,0),B16-C16+D16,0,0,0,0,G16-H16+I16,0,0,0,0,L16-M16+N16,0,0,0,0,Q16+R16,0,S16+T16,0,U16+V16)</f>
        <v>#N/A</v>
      </c>
      <c r="H18" s="180" t="s"/>
      <c r="I18" s="180" t="s"/>
      <c r="J18" s="185" t="s"/>
      <c r="K18" s="203" t="s"/>
      <c r="L18" s="202" t="e">
        <f>=CHOOSE(MATCH(L17,B15:U15,0),B16-C16+D16,0,0,0,0,G16-H16+I16,0,0,0,0,L16-M16+N16,0,0,0,0,Q16+R16,0,S16+T16,0,U16+V16)</f>
        <v>#N/A</v>
      </c>
      <c r="M18" s="180" t="s"/>
      <c r="N18" s="180" t="s"/>
      <c r="O18" s="185" t="s"/>
      <c r="P18" s="203" t="s"/>
      <c r="Q18" s="181" t="e">
        <f>=CHOOSE(MATCH(Q17,B15:U15,0),B16-C16+D16,0,0,0,0,G16-H16+I16,0,0,0,0,L16-M16+N16,0,0,0,0,Q16+R16,0,S16+T16,0,U16+V16)</f>
        <v>#N/A</v>
      </c>
      <c r="R18" s="180" t="s"/>
      <c r="S18" s="181" t="e">
        <f>=CHOOSE(MATCH(S17,B15:U15,0),B16-C16+D16,0,0,0,0,G16-H16+I16,0,0,0,0,L16-M16+N16,0,0,0,0,Q16+R16,0,S16+T16,0,U16+V16)</f>
        <v>#N/A</v>
      </c>
      <c r="T18" s="180" t="s"/>
      <c r="U18" s="181" t="e">
        <f>=CHOOSE(MATCH(U17,B15:U15,0),B16-C16+D16,0,0,0,0,G16-H16+I16,0,0,0,0,L16-M16+N16,0,0,0,0,Q16+R16,0,S16+T16,0,U16+V16)</f>
        <v>#N/A</v>
      </c>
      <c r="V18" s="180" t="s"/>
      <c r="W18" s="188" t="s"/>
      <c r="X18" s="204" t="s"/>
      <c r="Y18" s="181" t="s"/>
      <c r="Z18" s="208" t="s"/>
      <c r="AA18" s="209" t="s"/>
      <c r="AB18" s="195" t="s"/>
      <c r="AC18" s="195" t="s"/>
      <c r="AK18" s="176" t="s"/>
      <c r="AL18" s="176" t="s"/>
      <c r="AM18" s="176" t="s"/>
    </row>
    <row r="19" spans="1:39" ht="16.5" customHeight="1">
      <c r="A19" s="210">
        <v>8</v>
      </c>
      <c r="B19" s="210" t="s"/>
      <c r="C19" s="168" t="s"/>
      <c r="D19" s="169" t="s"/>
      <c r="E19" s="169" t="s"/>
      <c r="F19" s="170" t="s"/>
      <c r="G19" s="210" t="s"/>
      <c r="H19" s="168" t="s"/>
      <c r="I19" s="169" t="s"/>
      <c r="J19" s="169" t="s"/>
      <c r="K19" s="170" t="s"/>
      <c r="L19" s="210" t="s"/>
      <c r="M19" s="168" t="s"/>
      <c r="N19" s="169" t="s"/>
      <c r="O19" s="169" t="s"/>
      <c r="P19" s="170" t="s"/>
      <c r="Q19" s="181" t="s">
        <f>=IF(OR(COUNTIF(AD17:AI17,0)&gt;0,COUNTIF(AD19:AF19,0)&gt;0),"",INDEX(AD17:AI17,MATCH(TRUE,ISNA(MATCH(AD17:AI17,AD19:AF19,0)),0)))</f>
      </c>
      <c r="R19" s="171" t="s"/>
      <c r="S19" s="198" t="s">
        <f>=IF(OR(COUNTIF(AD17:AI17,0)&gt;0,COUNTIF(AD19:AG19,0)&gt;0),"",INDEX(AD17:AI17,MATCH(TRUE,ISNA(MATCH(AD17:AI17,AD19:AG19,0)),0)))</f>
      </c>
      <c r="T19" s="199" t="s"/>
      <c r="U19" s="181" t="s">
        <f>=IF(OR(COUNTIF(AD17:AI17,0)&gt;0,COUNTIF(AD19:AH19,0)&gt;0),"",INDEX(AD17:AI17,MATCH(TRUE,ISNA(MATCH(AD17:AI17,AD19:AH19,0)),0)))</f>
      </c>
      <c r="V19" s="171" t="s"/>
      <c r="W19" s="200" t="s"/>
      <c r="X19" s="200" t="s"/>
      <c r="Y19" s="181">
        <f>=IF(OR(A17="前置OD1",A17="后置OD1"),AK19,IF(OR(A17="前置OD2",A17="后置OD2"),AL19,IF(OR(A17="前置OD3",A17="后置OD3"),AM19,IF(LEFT(A19,2)="后置",Y17+E18+J18+O18+W17,Y17+E18+J18+O18+W17+X17))))</f>
        <v>0</v>
      </c>
      <c r="Z19" s="181">
        <f>=IF(Y19&lt;$AJ$4,Y19,$AJ$4)</f>
        <v>0</v>
      </c>
      <c r="AA19" s="181">
        <f>=F20+K20+P20</f>
        <v>0</v>
      </c>
      <c r="AB19" s="195" t="s"/>
      <c r="AC19" s="195" t="s"/>
      <c r="AD19" s="176">
        <f>=B19</f>
        <v>0</v>
      </c>
      <c r="AE19" s="176">
        <f>=G19</f>
        <v>0</v>
      </c>
      <c r="AF19" s="176">
        <f>=L19</f>
        <v>0</v>
      </c>
      <c r="AG19" s="176" t="s">
        <f>=Q19</f>
      </c>
      <c r="AH19" s="176" t="s">
        <f>=S19</f>
      </c>
      <c r="AI19" s="176" t="s">
        <f>=U19</f>
      </c>
      <c r="AK19" s="189">
        <f>=Z17-$AJ$4/3+E18+J18+O18+X17</f>
        <v>-100</v>
      </c>
      <c r="AL19" s="189">
        <f>=Z17-$AJ$4/3*2+E18+J18+O18+X17</f>
        <v>-200</v>
      </c>
      <c r="AM19" s="189">
        <f>=Z17-$AJ$4+E18+J18+O18+X17</f>
        <v>-300</v>
      </c>
    </row>
    <row r="20" spans="1:39" ht="16.5" customHeight="1">
      <c r="A20" s="206" t="s"/>
      <c r="B20" s="202" t="e">
        <f>=CHOOSE(MATCH(B19,B17:U17,0),B18-C18+D18,0,0,0,0,G18-H18+I18,0,0,0,0,L18-M18+N18,0,0,0,0,Q18+R18,0,S18+T18,0,U18+V18)</f>
        <v>#N/A</v>
      </c>
      <c r="C20" s="180" t="s"/>
      <c r="D20" s="180" t="s"/>
      <c r="E20" s="185" t="s"/>
      <c r="F20" s="203" t="s"/>
      <c r="G20" s="202" t="e">
        <f>=CHOOSE(MATCH(G19,B17:U17,0),B18-C18+D18,0,0,0,0,G18-H18+I18,0,0,0,0,L18-M18+N18,0,0,0,0,Q18+R18,0,S18+T18,0,U18+V18)</f>
        <v>#N/A</v>
      </c>
      <c r="H20" s="180" t="s"/>
      <c r="I20" s="180" t="s"/>
      <c r="J20" s="185" t="s"/>
      <c r="K20" s="203" t="s"/>
      <c r="L20" s="202" t="e">
        <f>=CHOOSE(MATCH(L19,B17:U17,0),B18-C18+D18,0,0,0,0,G18-H18+I18,0,0,0,0,L18-M18+N18,0,0,0,0,Q18+R18,0,S18+T18,0,U18+V18)</f>
        <v>#N/A</v>
      </c>
      <c r="M20" s="180" t="s"/>
      <c r="N20" s="180" t="s"/>
      <c r="O20" s="185" t="s"/>
      <c r="P20" s="203" t="s"/>
      <c r="Q20" s="181" t="e">
        <f>=CHOOSE(MATCH(Q19,B17:U17,0),B18-C18+D18,0,0,0,0,G18-H18+I18,0,0,0,0,L18-M18+N18,0,0,0,0,Q18+R18,0,S18+T18,0,U18+V18)</f>
        <v>#N/A</v>
      </c>
      <c r="R20" s="180" t="s"/>
      <c r="S20" s="181" t="e">
        <f>=CHOOSE(MATCH(S19,B17:U17,0),B18-C18+D18,0,0,0,0,G18-H18+I18,0,0,0,0,L18-M18+N18,0,0,0,0,Q18+R18,0,S18+T18,0,U18+V18)</f>
        <v>#N/A</v>
      </c>
      <c r="T20" s="180" t="s"/>
      <c r="U20" s="181" t="e">
        <f>=CHOOSE(MATCH(U19,B17:U17,0),B18-C18+D18,0,0,0,0,G18-H18+I18,0,0,0,0,L18-M18+N18,0,0,0,0,Q18+R18,0,S18+T18,0,U18+V18)</f>
        <v>#N/A</v>
      </c>
      <c r="V20" s="180" t="s"/>
      <c r="W20" s="188" t="s"/>
      <c r="X20" s="207" t="s"/>
      <c r="Y20" s="181" t="s"/>
      <c r="Z20" s="208" t="s"/>
      <c r="AA20" s="209" t="s"/>
      <c r="AB20" s="195" t="s"/>
      <c r="AC20" s="195" t="s"/>
      <c r="AK20" s="176" t="s"/>
      <c r="AL20" s="176" t="s"/>
      <c r="AM20" s="176" t="s"/>
    </row>
    <row r="21" spans="1:39" ht="16.5" customHeight="1">
      <c r="A21" s="210">
        <v>9</v>
      </c>
      <c r="B21" s="210" t="s"/>
      <c r="C21" s="168" t="s"/>
      <c r="D21" s="169" t="s"/>
      <c r="E21" s="169" t="s"/>
      <c r="F21" s="170" t="s"/>
      <c r="G21" s="210" t="s"/>
      <c r="H21" s="168" t="s"/>
      <c r="I21" s="169" t="s"/>
      <c r="J21" s="169" t="s"/>
      <c r="K21" s="170" t="s"/>
      <c r="L21" s="210" t="s"/>
      <c r="M21" s="168" t="s"/>
      <c r="N21" s="169" t="s"/>
      <c r="O21" s="169" t="s"/>
      <c r="P21" s="170" t="s"/>
      <c r="Q21" s="181" t="s">
        <f>=IF(OR(COUNTIF(AD19:AI19,0)&gt;0,COUNTIF(AD21:AF21,0)&gt;0),"",INDEX(AD19:AI19,MATCH(TRUE,ISNA(MATCH(AD19:AI19,AD21:AF21,0)),0)))</f>
      </c>
      <c r="R21" s="171" t="s"/>
      <c r="S21" s="198" t="s">
        <f>=IF(OR(COUNTIF(AD19:AI19,0)&gt;0,COUNTIF(AD21:AG21,0)&gt;0),"",INDEX(AD19:AI19,MATCH(TRUE,ISNA(MATCH(AD19:AI19,AD21:AG21,0)),0)))</f>
      </c>
      <c r="T21" s="199" t="s"/>
      <c r="U21" s="181" t="s">
        <f>=IF(OR(COUNTIF(AD19:AI19,0)&gt;0,COUNTIF(AD21:AH21,0)&gt;0),"",INDEX(AD19:AI19,MATCH(TRUE,ISNA(MATCH(AD19:AI19,AD21:AH21,0)),0)))</f>
      </c>
      <c r="V21" s="171" t="s"/>
      <c r="W21" s="200" t="s"/>
      <c r="X21" s="200" t="s"/>
      <c r="Y21" s="181">
        <f>=IF(OR(A19="前置OD1",A19="后置OD1"),AK21,IF(OR(A19="前置OD2",A19="后置OD2"),AL21,IF(OR(A19="前置OD3",A19="后置OD3"),AM21,IF(LEFT(A21,2)="后置",Y19+E20+J20+O20+W19,Y19+E20+J20+O20+W19+X19))))</f>
        <v>0</v>
      </c>
      <c r="Z21" s="181">
        <f>=IF(Y21&lt;$AJ$4,Y21,$AJ$4)</f>
        <v>0</v>
      </c>
      <c r="AA21" s="181">
        <f>=F22+K22+P22</f>
        <v>0</v>
      </c>
      <c r="AB21" s="195" t="s"/>
      <c r="AC21" s="195" t="s"/>
      <c r="AD21" s="176">
        <f>=B21</f>
        <v>0</v>
      </c>
      <c r="AE21" s="176">
        <f>=G21</f>
        <v>0</v>
      </c>
      <c r="AF21" s="176">
        <f>=L21</f>
        <v>0</v>
      </c>
      <c r="AG21" s="176" t="s">
        <f>=Q21</f>
      </c>
      <c r="AH21" s="176" t="s">
        <f>=S21</f>
      </c>
      <c r="AI21" s="176" t="s">
        <f>=U21</f>
      </c>
      <c r="AK21" s="189">
        <f>=Z19-$AJ$4/3+E20+J20+O20+X19</f>
        <v>-100</v>
      </c>
      <c r="AL21" s="189">
        <f>=Z19-$AJ$4/3*2+E20+J20+O20+X19</f>
        <v>-200</v>
      </c>
      <c r="AM21" s="189">
        <f>=Z19-$AJ$4+E20+J20+O20+X19</f>
        <v>-300</v>
      </c>
    </row>
    <row r="22" spans="1:39" ht="16.5" customHeight="1">
      <c r="A22" s="206" t="s"/>
      <c r="B22" s="202" t="e">
        <f>=CHOOSE(MATCH(B21,B19:U19,0),B20-C20+D20,0,0,0,0,G20-H20+I20,0,0,0,0,L20-M20+N20,0,0,0,0,Q20+R20,0,S20+T20,0,U20+V20)</f>
        <v>#N/A</v>
      </c>
      <c r="C22" s="180" t="s"/>
      <c r="D22" s="180" t="s"/>
      <c r="E22" s="185" t="s"/>
      <c r="F22" s="203" t="s"/>
      <c r="G22" s="202" t="e">
        <f>=CHOOSE(MATCH(G21,B19:U19,0),B20-C20+D20,0,0,0,0,G20-H20+I20,0,0,0,0,L20-M20+N20,0,0,0,0,Q20+R20,0,S20+T20,0,U20+V20)</f>
        <v>#N/A</v>
      </c>
      <c r="H22" s="180" t="s"/>
      <c r="I22" s="180" t="s"/>
      <c r="J22" s="185" t="s"/>
      <c r="K22" s="203" t="s"/>
      <c r="L22" s="202" t="e">
        <f>=CHOOSE(MATCH(L21,B19:U19,0),B20-C20+D20,0,0,0,0,G20-H20+I20,0,0,0,0,L20-M20+N20,0,0,0,0,Q20+R20,0,S20+T20,0,U20+V20)</f>
        <v>#N/A</v>
      </c>
      <c r="M22" s="180" t="s"/>
      <c r="N22" s="180" t="s"/>
      <c r="O22" s="185" t="s"/>
      <c r="P22" s="203" t="s"/>
      <c r="Q22" s="181" t="e">
        <f>=CHOOSE(MATCH(Q21,B19:U19,0),B20-C20+D20,0,0,0,0,G20-H20+I20,0,0,0,0,L20-M20+N20,0,0,0,0,Q20+R20,0,S20+T20,0,U20+V20)</f>
        <v>#N/A</v>
      </c>
      <c r="R22" s="180" t="s"/>
      <c r="S22" s="181" t="e">
        <f>=CHOOSE(MATCH(S21,B19:U19,0),B20-C20+D20,0,0,0,0,G20-H20+I20,0,0,0,0,L20-M20+N20,0,0,0,0,Q20+R20,0,S20+T20,0,U20+V20)</f>
        <v>#N/A</v>
      </c>
      <c r="T22" s="180" t="s"/>
      <c r="U22" s="181" t="e">
        <f>=CHOOSE(MATCH(U21,B19:U19,0),B20-C20+D20,0,0,0,0,G20-H20+I20,0,0,0,0,L20-M20+N20,0,0,0,0,Q20+R20,0,S20+T20,0,U20+V20)</f>
        <v>#N/A</v>
      </c>
      <c r="V22" s="180" t="s"/>
      <c r="W22" s="188" t="s"/>
      <c r="X22" s="204" t="s"/>
      <c r="Y22" s="181" t="s"/>
      <c r="Z22" s="208" t="s"/>
      <c r="AA22" s="209" t="s"/>
      <c r="AB22" s="195" t="s"/>
      <c r="AC22" s="195" t="s"/>
      <c r="AK22" s="176" t="s"/>
      <c r="AL22" s="176" t="s"/>
      <c r="AM22" s="176" t="s"/>
    </row>
    <row r="23" spans="1:39" ht="16.5" customHeight="1">
      <c r="A23" s="210">
        <v>10</v>
      </c>
      <c r="B23" s="210" t="s"/>
      <c r="C23" s="168" t="s"/>
      <c r="D23" s="169" t="s"/>
      <c r="E23" s="169" t="s"/>
      <c r="F23" s="170" t="s"/>
      <c r="G23" s="210" t="s"/>
      <c r="H23" s="168" t="s"/>
      <c r="I23" s="169" t="s"/>
      <c r="J23" s="169" t="s"/>
      <c r="K23" s="170" t="s"/>
      <c r="L23" s="210" t="s"/>
      <c r="M23" s="168" t="s"/>
      <c r="N23" s="169" t="s"/>
      <c r="O23" s="169" t="s"/>
      <c r="P23" s="170" t="s"/>
      <c r="Q23" s="181" t="s">
        <f>=IF(OR(COUNTIF(AD21:AI21,0)&gt;0,COUNTIF(AD23:AF23,0)&gt;0),"",INDEX(AD21:AI21,MATCH(TRUE,ISNA(MATCH(AD21:AI21,AD23:AF23,0)),0)))</f>
      </c>
      <c r="R23" s="171" t="s"/>
      <c r="S23" s="198" t="s">
        <f>=IF(OR(COUNTIF(AD21:AI21,0)&gt;0,COUNTIF(AD23:AG23,0)&gt;0),"",INDEX(AD21:AI21,MATCH(TRUE,ISNA(MATCH(AD21:AI21,AD23:AG23,0)),0)))</f>
      </c>
      <c r="T23" s="199" t="s"/>
      <c r="U23" s="181" t="s">
        <f>=IF(OR(COUNTIF(AD21:AI21,0)&gt;0,COUNTIF(AD23:AH23,0)&gt;0),"",INDEX(AD21:AI21,MATCH(TRUE,ISNA(MATCH(AD21:AI21,AD23:AH23,0)),0)))</f>
      </c>
      <c r="V23" s="171" t="s"/>
      <c r="W23" s="200" t="s"/>
      <c r="X23" s="200" t="s"/>
      <c r="Y23" s="181">
        <f>=IF(OR(A21="前置OD1",A21="后置OD1"),AK23,IF(OR(A21="前置OD2",A21="后置OD2"),AL23,IF(OR(A21="前置OD3",A21="后置OD3"),AM23,IF(LEFT(A23,2)="后置",Y21+E22+J22+O22+W21,Y21+E22+J22+O22+W21+X21))))</f>
        <v>0</v>
      </c>
      <c r="Z23" s="181">
        <f>=IF(Y23&lt;$AJ$4,Y23,$AJ$4)</f>
        <v>0</v>
      </c>
      <c r="AA23" s="181">
        <f>=F24+K24+P24</f>
        <v>0</v>
      </c>
      <c r="AB23" s="195" t="s"/>
      <c r="AC23" s="195" t="s"/>
      <c r="AD23" s="176">
        <f>=B23</f>
        <v>0</v>
      </c>
      <c r="AE23" s="176">
        <f>=G23</f>
        <v>0</v>
      </c>
      <c r="AF23" s="176">
        <f>=L23</f>
        <v>0</v>
      </c>
      <c r="AG23" s="176" t="s">
        <f>=Q23</f>
      </c>
      <c r="AH23" s="176" t="s">
        <f>=S23</f>
      </c>
      <c r="AI23" s="176" t="s">
        <f>=U23</f>
      </c>
      <c r="AK23" s="189">
        <f>=Z21-$AJ$4/3+E22+J22+O22+X21</f>
        <v>-100</v>
      </c>
      <c r="AL23" s="189">
        <f>=Z21-$AJ$4/3*2+E22+J22+O22+X21</f>
        <v>-200</v>
      </c>
      <c r="AM23" s="189">
        <f>=Z21-$AJ$4+E22+J22+O22+X21</f>
        <v>-300</v>
      </c>
    </row>
    <row r="24" spans="1:39" ht="16.5" customHeight="1">
      <c r="A24" s="206" t="s"/>
      <c r="B24" s="202" t="e">
        <f>=CHOOSE(MATCH(B23,B21:U21,0),B22-C22+D22,0,0,0,0,G22-H22+I22,0,0,0,0,L22-M22+N22,0,0,0,0,Q22+R22,0,S22+T22,0,U22+V22)</f>
        <v>#N/A</v>
      </c>
      <c r="C24" s="180" t="s"/>
      <c r="D24" s="180" t="s"/>
      <c r="E24" s="185" t="s"/>
      <c r="F24" s="203" t="s"/>
      <c r="G24" s="202" t="e">
        <f>=CHOOSE(MATCH(G23,B21:U21,0),B22-C22+D22,0,0,0,0,G22-H22+I22,0,0,0,0,L22-M22+N22,0,0,0,0,Q22+R22,0,S22+T22,0,U22+V22)</f>
        <v>#N/A</v>
      </c>
      <c r="H24" s="180" t="s"/>
      <c r="I24" s="180" t="s"/>
      <c r="J24" s="185" t="s"/>
      <c r="K24" s="203" t="s"/>
      <c r="L24" s="202" t="e">
        <f>=CHOOSE(MATCH(L23,B21:U21,0),B22-C22+D22,0,0,0,0,G22-H22+I22,0,0,0,0,L22-M22+N22,0,0,0,0,Q22+R22,0,S22+T22,0,U22+V22)</f>
        <v>#N/A</v>
      </c>
      <c r="M24" s="180" t="s"/>
      <c r="N24" s="180" t="s"/>
      <c r="O24" s="185" t="s"/>
      <c r="P24" s="203" t="s"/>
      <c r="Q24" s="181" t="e">
        <f>=CHOOSE(MATCH(Q23,B21:U21,0),B22-C22+D22,0,0,0,0,G22-H22+I22,0,0,0,0,L22-M22+N22,0,0,0,0,Q22+R22,0,S22+T22,0,U22+V22)</f>
        <v>#N/A</v>
      </c>
      <c r="R24" s="180" t="s"/>
      <c r="S24" s="181" t="e">
        <f>=CHOOSE(MATCH(S23,B21:U21,0),B22-C22+D22,0,0,0,0,G22-H22+I22,0,0,0,0,L22-M22+N22,0,0,0,0,Q22+R22,0,S22+T22,0,U22+V22)</f>
        <v>#N/A</v>
      </c>
      <c r="T24" s="180" t="s"/>
      <c r="U24" s="181" t="e">
        <f>=CHOOSE(MATCH(U23,B21:U21,0),B22-C22+D22,0,0,0,0,G22-H22+I22,0,0,0,0,L22-M22+N22,0,0,0,0,Q22+R22,0,S22+T22,0,U22+V22)</f>
        <v>#N/A</v>
      </c>
      <c r="V24" s="180" t="s"/>
      <c r="W24" s="188" t="s"/>
      <c r="X24" s="207" t="s"/>
      <c r="Y24" s="181" t="s"/>
      <c r="Z24" s="208" t="s"/>
      <c r="AA24" s="209" t="s"/>
      <c r="AB24" s="195" t="s"/>
      <c r="AC24" s="195" t="s"/>
      <c r="AK24" s="176" t="s"/>
      <c r="AL24" s="176" t="s"/>
      <c r="AM24" s="176" t="s"/>
    </row>
    <row r="25" spans="1:39" ht="16.5" customHeight="1">
      <c r="A25" s="210">
        <v>11</v>
      </c>
      <c r="B25" s="210" t="s"/>
      <c r="C25" s="168" t="s"/>
      <c r="D25" s="169" t="s"/>
      <c r="E25" s="169" t="s"/>
      <c r="F25" s="170" t="s"/>
      <c r="G25" s="210" t="s"/>
      <c r="H25" s="168" t="s"/>
      <c r="I25" s="169" t="s"/>
      <c r="J25" s="169" t="s"/>
      <c r="K25" s="170" t="s"/>
      <c r="L25" s="210" t="s"/>
      <c r="M25" s="168" t="s"/>
      <c r="N25" s="169" t="s"/>
      <c r="O25" s="169" t="s"/>
      <c r="P25" s="170" t="s"/>
      <c r="Q25" s="181" t="s">
        <f>=IF(OR(COUNTIF(AD23:AI23,0)&gt;0,COUNTIF(AD25:AF25,0)&gt;0),"",INDEX(AD23:AI23,MATCH(TRUE,ISNA(MATCH(AD23:AI23,AD25:AF25,0)),0)))</f>
      </c>
      <c r="R25" s="171" t="s"/>
      <c r="S25" s="198" t="s">
        <f>=IF(OR(COUNTIF(AD23:AI23,0)&gt;0,COUNTIF(AD25:AG25,0)&gt;0),"",INDEX(AD23:AI23,MATCH(TRUE,ISNA(MATCH(AD23:AI23,AD25:AG25,0)),0)))</f>
      </c>
      <c r="T25" s="199" t="s"/>
      <c r="U25" s="181" t="s">
        <f>=IF(OR(COUNTIF(AD23:AI23,0)&gt;0,COUNTIF(AD25:AH25,0)&gt;0),"",INDEX(AD23:AI23,MATCH(TRUE,ISNA(MATCH(AD23:AI23,AD25:AH25,0)),0)))</f>
      </c>
      <c r="V25" s="171" t="s"/>
      <c r="W25" s="200" t="s"/>
      <c r="X25" s="200" t="s"/>
      <c r="Y25" s="181">
        <f>=IF(OR(A23="前置OD1",A23="后置OD1"),AK25,IF(OR(A23="前置OD2",A23="后置OD2"),AL25,IF(OR(A23="前置OD3",A23="后置OD3"),AM25,IF(LEFT(A25,2)="后置",Y23+E24+J24+O24+W23,Y23+E24+J24+O24+W23+X23))))</f>
        <v>0</v>
      </c>
      <c r="Z25" s="181">
        <f>=IF(Y25&lt;$AJ$4,Y25,$AJ$4)</f>
        <v>0</v>
      </c>
      <c r="AA25" s="181">
        <f>=F26+K26+P26</f>
        <v>0</v>
      </c>
      <c r="AB25" s="195" t="s"/>
      <c r="AC25" s="195" t="s"/>
      <c r="AD25" s="176">
        <f>=B25</f>
        <v>0</v>
      </c>
      <c r="AE25" s="176">
        <f>=G25</f>
        <v>0</v>
      </c>
      <c r="AF25" s="176">
        <f>=L25</f>
        <v>0</v>
      </c>
      <c r="AG25" s="176" t="s">
        <f>=Q25</f>
      </c>
      <c r="AH25" s="176" t="s">
        <f>=S25</f>
      </c>
      <c r="AI25" s="176" t="s">
        <f>=U25</f>
      </c>
      <c r="AK25" s="189">
        <f>=Z23-$AJ$4/3+E24+J24+O24+X23</f>
        <v>-100</v>
      </c>
      <c r="AL25" s="189">
        <f>=Z23-$AJ$4/3*2+E24+J24+O24+X23</f>
        <v>-200</v>
      </c>
      <c r="AM25" s="189">
        <f>=Z23-$AJ$4+E24+J24+O24+X23</f>
        <v>-300</v>
      </c>
    </row>
    <row r="26" spans="1:39" ht="16.5" customHeight="1">
      <c r="A26" s="206" t="s"/>
      <c r="B26" s="202" t="e">
        <f>=CHOOSE(MATCH(B25,B23:U23,0),B24-C24+D24,0,0,0,0,G24-H24+I24,0,0,0,0,L24-M24+N24,0,0,0,0,Q24+R24,0,S24+T24,0,U24+V24)</f>
        <v>#N/A</v>
      </c>
      <c r="C26" s="180" t="s"/>
      <c r="D26" s="180" t="s"/>
      <c r="E26" s="185" t="s"/>
      <c r="F26" s="203" t="s"/>
      <c r="G26" s="202" t="e">
        <f>=CHOOSE(MATCH(G25,B23:U23,0),B24-C24+D24,0,0,0,0,G24-H24+I24,0,0,0,0,L24-M24+N24,0,0,0,0,Q24+R24,0,S24+T24,0,U24+V24)</f>
        <v>#N/A</v>
      </c>
      <c r="H26" s="180" t="s"/>
      <c r="I26" s="180" t="s"/>
      <c r="J26" s="185" t="s"/>
      <c r="K26" s="203" t="s"/>
      <c r="L26" s="202" t="e">
        <f>=CHOOSE(MATCH(L25,B23:U23,0),B24-C24+D24,0,0,0,0,G24-H24+I24,0,0,0,0,L24-M24+N24,0,0,0,0,Q24+R24,0,S24+T24,0,U24+V24)</f>
        <v>#N/A</v>
      </c>
      <c r="M26" s="180" t="s"/>
      <c r="N26" s="180" t="s"/>
      <c r="O26" s="185" t="s"/>
      <c r="P26" s="203" t="s"/>
      <c r="Q26" s="181" t="e">
        <f>=CHOOSE(MATCH(Q25,B23:U23,0),B24-C24+D24,0,0,0,0,G24-H24+I24,0,0,0,0,L24-M24+N24,0,0,0,0,Q24+R24,0,S24+T24,0,U24+V24)</f>
        <v>#N/A</v>
      </c>
      <c r="R26" s="180" t="s"/>
      <c r="S26" s="181" t="e">
        <f>=CHOOSE(MATCH(S25,B23:U23,0),B24-C24+D24,0,0,0,0,G24-H24+I24,0,0,0,0,L24-M24+N24,0,0,0,0,Q24+R24,0,S24+T24,0,U24+V24)</f>
        <v>#N/A</v>
      </c>
      <c r="T26" s="180" t="s"/>
      <c r="U26" s="181" t="e">
        <f>=CHOOSE(MATCH(U25,B23:U23,0),B24-C24+D24,0,0,0,0,G24-H24+I24,0,0,0,0,L24-M24+N24,0,0,0,0,Q24+R24,0,S24+T24,0,U24+V24)</f>
        <v>#N/A</v>
      </c>
      <c r="V26" s="180" t="s"/>
      <c r="W26" s="188" t="s"/>
      <c r="X26" s="204" t="s"/>
      <c r="Y26" s="181" t="s"/>
      <c r="Z26" s="208" t="s"/>
      <c r="AA26" s="209" t="s"/>
      <c r="AB26" s="195" t="s"/>
      <c r="AC26" s="195" t="s"/>
      <c r="AK26" s="176" t="s"/>
      <c r="AL26" s="176" t="s"/>
      <c r="AM26" s="176" t="s"/>
    </row>
    <row r="27" spans="1:39" ht="16.5" customHeight="1">
      <c r="A27" s="210">
        <v>12</v>
      </c>
      <c r="B27" s="210" t="s"/>
      <c r="C27" s="168" t="s"/>
      <c r="D27" s="169" t="s"/>
      <c r="E27" s="169" t="s"/>
      <c r="F27" s="170" t="s"/>
      <c r="G27" s="210" t="s"/>
      <c r="H27" s="168" t="s"/>
      <c r="I27" s="169" t="s"/>
      <c r="J27" s="169" t="s"/>
      <c r="K27" s="170" t="s"/>
      <c r="L27" s="210" t="s"/>
      <c r="M27" s="168" t="s"/>
      <c r="N27" s="169" t="s"/>
      <c r="O27" s="169" t="s"/>
      <c r="P27" s="170" t="s"/>
      <c r="Q27" s="181" t="s">
        <f>=IF(OR(COUNTIF(AD25:AI25,0)&gt;0,COUNTIF(AD27:AF27,0)&gt;0),"",INDEX(AD25:AI25,MATCH(TRUE,ISNA(MATCH(AD25:AI25,AD27:AF27,0)),0)))</f>
      </c>
      <c r="R27" s="171" t="s"/>
      <c r="S27" s="198" t="s">
        <f>=IF(OR(COUNTIF(AD25:AI25,0)&gt;0,COUNTIF(AD27:AG27,0)&gt;0),"",INDEX(AD25:AI25,MATCH(TRUE,ISNA(MATCH(AD25:AI25,AD27:AG27,0)),0)))</f>
      </c>
      <c r="T27" s="199" t="s"/>
      <c r="U27" s="181" t="s">
        <f>=IF(OR(COUNTIF(AD25:AI25,0)&gt;0,COUNTIF(AD27:AH27,0)&gt;0),"",INDEX(AD25:AI25,MATCH(TRUE,ISNA(MATCH(AD25:AI25,AD27:AH27,0)),0)))</f>
      </c>
      <c r="V27" s="171" t="s"/>
      <c r="W27" s="200" t="s"/>
      <c r="X27" s="200" t="s"/>
      <c r="Y27" s="181">
        <f>=IF(OR(A25="前置OD1",A25="后置OD1"),AK27,IF(OR(A25="前置OD2",A25="后置OD2"),AL27,IF(OR(A25="前置OD3",A25="后置OD3"),AM27,IF(LEFT(A27,2)="后置",Y25+E26+J26+O26+W25,Y25+E26+J26+O26+W25+X25))))</f>
        <v>0</v>
      </c>
      <c r="Z27" s="181">
        <f>=IF(Y27&lt;$AJ$4,Y27,$AJ$4)</f>
        <v>0</v>
      </c>
      <c r="AA27" s="181">
        <f>=F28+K28+P28</f>
        <v>0</v>
      </c>
      <c r="AB27" s="195" t="s"/>
      <c r="AC27" s="195" t="s"/>
      <c r="AD27" s="176">
        <f>=B27</f>
        <v>0</v>
      </c>
      <c r="AE27" s="176">
        <f>=G27</f>
        <v>0</v>
      </c>
      <c r="AF27" s="176">
        <f>=L27</f>
        <v>0</v>
      </c>
      <c r="AG27" s="176" t="s">
        <f>=Q27</f>
      </c>
      <c r="AH27" s="176" t="s">
        <f>=S27</f>
      </c>
      <c r="AI27" s="176" t="s">
        <f>=U27</f>
      </c>
      <c r="AK27" s="189">
        <f>=Z25-$AJ$4/3+E26+J26+O26+X25</f>
        <v>-100</v>
      </c>
      <c r="AL27" s="189">
        <f>=Z25-$AJ$4/3*2+E26+J26+O26+X25</f>
        <v>-200</v>
      </c>
      <c r="AM27" s="189">
        <f>=Z25-$AJ$4+E26+J26+O26+X25</f>
        <v>-300</v>
      </c>
    </row>
    <row r="28" spans="1:39" ht="16.5" customHeight="1">
      <c r="A28" s="206" t="s"/>
      <c r="B28" s="202" t="e">
        <f>=CHOOSE(MATCH(B27,B25:U25,0),B26-C26+D26,0,0,0,0,G26-H26+I26,0,0,0,0,L26-M26+N26,0,0,0,0,Q26+R26,0,S26+T26,0,U26+V26)</f>
        <v>#N/A</v>
      </c>
      <c r="C28" s="180" t="s"/>
      <c r="D28" s="180" t="s"/>
      <c r="E28" s="185" t="s"/>
      <c r="F28" s="203" t="s"/>
      <c r="G28" s="202" t="e">
        <f>=CHOOSE(MATCH(G27,B25:U25,0),B26-C26+D26,0,0,0,0,G26-H26+I26,0,0,0,0,L26-M26+N26,0,0,0,0,Q26+R26,0,S26+T26,0,U26+V26)</f>
        <v>#N/A</v>
      </c>
      <c r="H28" s="180" t="s"/>
      <c r="I28" s="180" t="s"/>
      <c r="J28" s="185" t="s"/>
      <c r="K28" s="203" t="s"/>
      <c r="L28" s="202" t="e">
        <f>=CHOOSE(MATCH(L27,B25:U25,0),B26-C26+D26,0,0,0,0,G26-H26+I26,0,0,0,0,L26-M26+N26,0,0,0,0,Q26+R26,0,S26+T26,0,U26+V26)</f>
        <v>#N/A</v>
      </c>
      <c r="M28" s="180" t="s"/>
      <c r="N28" s="180" t="s"/>
      <c r="O28" s="185" t="s"/>
      <c r="P28" s="203" t="s"/>
      <c r="Q28" s="181" t="e">
        <f>=CHOOSE(MATCH(Q27,B25:U25,0),B26-C26+D26,0,0,0,0,G26-H26+I26,0,0,0,0,L26-M26+N26,0,0,0,0,Q26+R26,0,S26+T26,0,U26+V26)</f>
        <v>#N/A</v>
      </c>
      <c r="R28" s="180" t="s"/>
      <c r="S28" s="181" t="e">
        <f>=CHOOSE(MATCH(S27,B25:U25,0),B26-C26+D26,0,0,0,0,G26-H26+I26,0,0,0,0,L26-M26+N26,0,0,0,0,Q26+R26,0,S26+T26,0,U26+V26)</f>
        <v>#N/A</v>
      </c>
      <c r="T28" s="180" t="s"/>
      <c r="U28" s="181" t="e">
        <f>=CHOOSE(MATCH(U27,B25:U25,0),B26-C26+D26,0,0,0,0,G26-H26+I26,0,0,0,0,L26-M26+N26,0,0,0,0,Q26+R26,0,S26+T26,0,U26+V26)</f>
        <v>#N/A</v>
      </c>
      <c r="V28" s="180" t="s"/>
      <c r="W28" s="188" t="s"/>
      <c r="X28" s="207" t="s"/>
      <c r="Y28" s="181" t="s"/>
      <c r="Z28" s="208" t="s"/>
      <c r="AA28" s="209" t="s"/>
      <c r="AB28" s="195" t="s"/>
      <c r="AC28" s="195" t="s"/>
      <c r="AK28" s="176" t="s"/>
      <c r="AL28" s="176" t="s"/>
      <c r="AM28" s="176" t="s"/>
    </row>
    <row r="29" spans="1:39" ht="16.5" customHeight="1">
      <c r="A29" s="210">
        <v>13</v>
      </c>
      <c r="B29" s="210" t="s"/>
      <c r="C29" s="168" t="s"/>
      <c r="D29" s="169" t="s"/>
      <c r="E29" s="169" t="s"/>
      <c r="F29" s="170" t="s"/>
      <c r="G29" s="210" t="s"/>
      <c r="H29" s="168" t="s"/>
      <c r="I29" s="169" t="s"/>
      <c r="J29" s="169" t="s"/>
      <c r="K29" s="170" t="s"/>
      <c r="L29" s="210" t="s"/>
      <c r="M29" s="168" t="s"/>
      <c r="N29" s="169" t="s"/>
      <c r="O29" s="169" t="s"/>
      <c r="P29" s="170" t="s"/>
      <c r="Q29" s="181" t="s">
        <f>=IF(OR(COUNTIF(AD27:AI27,0)&gt;0,COUNTIF(AD29:AF29,0)&gt;0),"",INDEX(AD27:AI27,MATCH(TRUE,ISNA(MATCH(AD27:AI27,AD29:AF29,0)),0)))</f>
      </c>
      <c r="R29" s="171" t="s"/>
      <c r="S29" s="198" t="s">
        <f>=IF(OR(COUNTIF(AD27:AI27,0)&gt;0,COUNTIF(AD29:AG29,0)&gt;0),"",INDEX(AD27:AI27,MATCH(TRUE,ISNA(MATCH(AD27:AI27,AD29:AG29,0)),0)))</f>
      </c>
      <c r="T29" s="199" t="s"/>
      <c r="U29" s="181" t="s">
        <f>=IF(OR(COUNTIF(AD27:AI27,0)&gt;0,COUNTIF(AD29:AH29,0)&gt;0),"",INDEX(AD27:AI27,MATCH(TRUE,ISNA(MATCH(AD27:AI27,AD29:AH29,0)),0)))</f>
      </c>
      <c r="V29" s="171" t="s"/>
      <c r="W29" s="200" t="s"/>
      <c r="X29" s="200" t="s"/>
      <c r="Y29" s="181">
        <f>=IF(OR(A27="前置OD1",A27="后置OD1"),AK29,IF(OR(A27="前置OD2",A27="后置OD2"),AL29,IF(OR(A27="前置OD3",A27="后置OD3"),AM29,IF(LEFT(A29,2)="后置",Y27+E28+J28+O28+W27,Y27+E28+J28+O28+W27+X27))))</f>
        <v>0</v>
      </c>
      <c r="Z29" s="181">
        <f>=IF(Y29&lt;$AJ$4,Y29,$AJ$4)</f>
        <v>0</v>
      </c>
      <c r="AA29" s="181">
        <f>=F30+K30+P30</f>
        <v>0</v>
      </c>
      <c r="AB29" s="195" t="s"/>
      <c r="AC29" s="195" t="s"/>
      <c r="AD29" s="176">
        <f>=B29</f>
        <v>0</v>
      </c>
      <c r="AE29" s="176">
        <f>=G29</f>
        <v>0</v>
      </c>
      <c r="AF29" s="176">
        <f>=L29</f>
        <v>0</v>
      </c>
      <c r="AG29" s="176" t="s">
        <f>=Q29</f>
      </c>
      <c r="AH29" s="176" t="s">
        <f>=S29</f>
      </c>
      <c r="AI29" s="176" t="s">
        <f>=U29</f>
      </c>
      <c r="AK29" s="189">
        <f>=Z27-$AJ$4/3+E28+J28+O28+X27</f>
        <v>-100</v>
      </c>
      <c r="AL29" s="189">
        <f>=Z27-$AJ$4/3*2+E28+J28+O28+X27</f>
        <v>-200</v>
      </c>
      <c r="AM29" s="189">
        <f>=Z27-$AJ$4+E28+J28+O28+X27</f>
        <v>-300</v>
      </c>
    </row>
    <row r="30" spans="1:39" ht="16.5" customHeight="1">
      <c r="A30" s="206" t="s"/>
      <c r="B30" s="202" t="e">
        <f>=CHOOSE(MATCH(B29,B27:U27,0),B28-C28+D28,0,0,0,0,G28-H28+I28,0,0,0,0,L28-M28+N28,0,0,0,0,Q28+R28,0,S28+T28,0,U28+V28)</f>
        <v>#N/A</v>
      </c>
      <c r="C30" s="180" t="s"/>
      <c r="D30" s="180" t="s"/>
      <c r="E30" s="185" t="s"/>
      <c r="F30" s="203" t="s"/>
      <c r="G30" s="202" t="e">
        <f>=CHOOSE(MATCH(G29,B27:U27,0),B28-C28+D28,0,0,0,0,G28-H28+I28,0,0,0,0,L28-M28+N28,0,0,0,0,Q28+R28,0,S28+T28,0,U28+V28)</f>
        <v>#N/A</v>
      </c>
      <c r="H30" s="180" t="s"/>
      <c r="I30" s="180" t="s"/>
      <c r="J30" s="185" t="s"/>
      <c r="K30" s="203" t="s"/>
      <c r="L30" s="202" t="e">
        <f>=CHOOSE(MATCH(L29,B27:U27,0),B28-C28+D28,0,0,0,0,G28-H28+I28,0,0,0,0,L28-M28+N28,0,0,0,0,Q28+R28,0,S28+T28,0,U28+V28)</f>
        <v>#N/A</v>
      </c>
      <c r="M30" s="180" t="s"/>
      <c r="N30" s="180" t="s"/>
      <c r="O30" s="185" t="s"/>
      <c r="P30" s="203" t="s"/>
      <c r="Q30" s="181" t="e">
        <f>=CHOOSE(MATCH(Q29,B27:U27,0),B28-C28+D28,0,0,0,0,G28-H28+I28,0,0,0,0,L28-M28+N28,0,0,0,0,Q28+R28,0,S28+T28,0,U28+V28)</f>
        <v>#N/A</v>
      </c>
      <c r="R30" s="180" t="s"/>
      <c r="S30" s="181" t="e">
        <f>=CHOOSE(MATCH(S29,B27:U27,0),B28-C28+D28,0,0,0,0,G28-H28+I28,0,0,0,0,L28-M28+N28,0,0,0,0,Q28+R28,0,S28+T28,0,U28+V28)</f>
        <v>#N/A</v>
      </c>
      <c r="T30" s="180" t="s"/>
      <c r="U30" s="181" t="e">
        <f>=CHOOSE(MATCH(U29,B27:U27,0),B28-C28+D28,0,0,0,0,G28-H28+I28,0,0,0,0,L28-M28+N28,0,0,0,0,Q28+R28,0,S28+T28,0,U28+V28)</f>
        <v>#N/A</v>
      </c>
      <c r="V30" s="180" t="s"/>
      <c r="W30" s="188" t="s"/>
      <c r="X30" s="204" t="s"/>
      <c r="Y30" s="181" t="s"/>
      <c r="Z30" s="208" t="s"/>
      <c r="AA30" s="209" t="s"/>
      <c r="AB30" s="195" t="s"/>
      <c r="AC30" s="195" t="s"/>
      <c r="AK30" s="176" t="s"/>
      <c r="AL30" s="176" t="s"/>
      <c r="AM30" s="176" t="s"/>
    </row>
    <row r="31" spans="1:39" ht="16.5" customHeight="1">
      <c r="A31" s="210">
        <v>14</v>
      </c>
      <c r="B31" s="210" t="s"/>
      <c r="C31" s="168" t="s"/>
      <c r="D31" s="169" t="s"/>
      <c r="E31" s="169" t="s"/>
      <c r="F31" s="170" t="s"/>
      <c r="G31" s="210" t="s"/>
      <c r="H31" s="168" t="s"/>
      <c r="I31" s="169" t="s"/>
      <c r="J31" s="169" t="s"/>
      <c r="K31" s="170" t="s"/>
      <c r="L31" s="210" t="s"/>
      <c r="M31" s="168" t="s"/>
      <c r="N31" s="169" t="s"/>
      <c r="O31" s="169" t="s"/>
      <c r="P31" s="170" t="s"/>
      <c r="Q31" s="181" t="s">
        <f>=IF(OR(COUNTIF(AD29:AI29,0)&gt;0,COUNTIF(AD31:AF31,0)&gt;0),"",INDEX(AD29:AI29,MATCH(TRUE,ISNA(MATCH(AD29:AI29,AD31:AF31,0)),0)))</f>
      </c>
      <c r="R31" s="171" t="s"/>
      <c r="S31" s="198" t="s">
        <f>=IF(OR(COUNTIF(AD29:AI29,0)&gt;0,COUNTIF(AD31:AG31,0)&gt;0),"",INDEX(AD29:AI29,MATCH(TRUE,ISNA(MATCH(AD29:AI29,AD31:AG31,0)),0)))</f>
      </c>
      <c r="T31" s="199" t="s"/>
      <c r="U31" s="181" t="s">
        <f>=IF(OR(COUNTIF(AD29:AI29,0)&gt;0,COUNTIF(AD31:AH31,0)&gt;0),"",INDEX(AD29:AI29,MATCH(TRUE,ISNA(MATCH(AD29:AI29,AD31:AH31,0)),0)))</f>
      </c>
      <c r="V31" s="171" t="s"/>
      <c r="W31" s="200" t="s"/>
      <c r="X31" s="200" t="s"/>
      <c r="Y31" s="181">
        <f>=IF(OR(A29="前置OD1",A29="后置OD1"),AK31,IF(OR(A29="前置OD2",A29="后置OD2"),AL31,IF(OR(A29="前置OD3",A29="后置OD3"),AM31,IF(LEFT(A31,2)="后置",Y29+E30+J30+O30+W29,Y29+E30+J30+O30+W29+X29))))</f>
        <v>0</v>
      </c>
      <c r="Z31" s="181">
        <f>=IF(Y31&lt;$AJ$4,Y31,$AJ$4)</f>
        <v>0</v>
      </c>
      <c r="AA31" s="181">
        <f>=F32+K32+P32</f>
        <v>0</v>
      </c>
      <c r="AB31" s="195" t="s"/>
      <c r="AC31" s="195" t="s"/>
      <c r="AD31" s="176">
        <f>=B31</f>
        <v>0</v>
      </c>
      <c r="AE31" s="176">
        <f>=G31</f>
        <v>0</v>
      </c>
      <c r="AF31" s="176">
        <f>=L31</f>
        <v>0</v>
      </c>
      <c r="AG31" s="176" t="s">
        <f>=Q31</f>
      </c>
      <c r="AH31" s="176" t="s">
        <f>=S31</f>
      </c>
      <c r="AI31" s="176" t="s">
        <f>=U31</f>
      </c>
      <c r="AK31" s="189">
        <f>=Z29-$AJ$4/3+E30+J30+O30+X29</f>
        <v>-100</v>
      </c>
      <c r="AL31" s="189">
        <f>=Z29-$AJ$4/3*2+E30+J30+O30+X29</f>
        <v>-200</v>
      </c>
      <c r="AM31" s="189">
        <f>=Z29-$AJ$4+E30+J30+O30+X29</f>
        <v>-300</v>
      </c>
    </row>
    <row r="32" spans="1:39" ht="16.5" customHeight="1">
      <c r="A32" s="206" t="s"/>
      <c r="B32" s="202" t="e">
        <f>=CHOOSE(MATCH(B31,B29:U29,0),B30-C30+D30,0,0,0,0,G30-H30+I30,0,0,0,0,L30-M30+N30,0,0,0,0,Q30+R30,0,S30+T30,0,U30+V30)</f>
        <v>#N/A</v>
      </c>
      <c r="C32" s="180" t="s"/>
      <c r="D32" s="180" t="s"/>
      <c r="E32" s="185" t="s"/>
      <c r="F32" s="203" t="s"/>
      <c r="G32" s="202" t="e">
        <f>=CHOOSE(MATCH(G31,B29:U29,0),B30-C30+D30,0,0,0,0,G30-H30+I30,0,0,0,0,L30-M30+N30,0,0,0,0,Q30+R30,0,S30+T30,0,U30+V30)</f>
        <v>#N/A</v>
      </c>
      <c r="H32" s="180" t="s"/>
      <c r="I32" s="180" t="s"/>
      <c r="J32" s="185" t="s"/>
      <c r="K32" s="203" t="s"/>
      <c r="L32" s="202" t="e">
        <f>=CHOOSE(MATCH(L31,B29:U29,0),B30-C30+D30,0,0,0,0,G30-H30+I30,0,0,0,0,L30-M30+N30,0,0,0,0,Q30+R30,0,S30+T30,0,U30+V30)</f>
        <v>#N/A</v>
      </c>
      <c r="M32" s="180" t="s"/>
      <c r="N32" s="180" t="s"/>
      <c r="O32" s="185" t="s"/>
      <c r="P32" s="203" t="s"/>
      <c r="Q32" s="181" t="e">
        <f>=CHOOSE(MATCH(Q31,B29:U29,0),B30-C30+D30,0,0,0,0,G30-H30+I30,0,0,0,0,L30-M30+N30,0,0,0,0,Q30+R30,0,S30+T30,0,U30+V30)</f>
        <v>#N/A</v>
      </c>
      <c r="R32" s="180" t="s"/>
      <c r="S32" s="181" t="e">
        <f>=CHOOSE(MATCH(S31,B29:U29,0),B30-C30+D30,0,0,0,0,G30-H30+I30,0,0,0,0,L30-M30+N30,0,0,0,0,Q30+R30,0,S30+T30,0,U30+V30)</f>
        <v>#N/A</v>
      </c>
      <c r="T32" s="180" t="s"/>
      <c r="U32" s="181" t="e">
        <f>=CHOOSE(MATCH(U31,B29:U29,0),B30-C30+D30,0,0,0,0,G30-H30+I30,0,0,0,0,L30-M30+N30,0,0,0,0,Q30+R30,0,S30+T30,0,U30+V30)</f>
        <v>#N/A</v>
      </c>
      <c r="V32" s="180" t="s"/>
      <c r="W32" s="188" t="s"/>
      <c r="X32" s="207" t="s"/>
      <c r="Y32" s="181" t="s"/>
      <c r="Z32" s="208" t="s"/>
      <c r="AA32" s="209" t="s"/>
      <c r="AB32" s="195" t="s"/>
      <c r="AC32" s="195" t="s"/>
      <c r="AK32" s="176" t="s"/>
      <c r="AL32" s="176" t="s"/>
      <c r="AM32" s="176" t="s"/>
    </row>
    <row r="33" spans="1:39" ht="16.5" customHeight="1">
      <c r="A33" s="210">
        <v>15</v>
      </c>
      <c r="B33" s="210" t="s"/>
      <c r="C33" s="168" t="s"/>
      <c r="D33" s="169" t="s"/>
      <c r="E33" s="169" t="s"/>
      <c r="F33" s="170" t="s"/>
      <c r="G33" s="210" t="s"/>
      <c r="H33" s="168" t="s"/>
      <c r="I33" s="169" t="s"/>
      <c r="J33" s="169" t="s"/>
      <c r="K33" s="170" t="s"/>
      <c r="L33" s="210" t="s"/>
      <c r="M33" s="168" t="s"/>
      <c r="N33" s="169" t="s"/>
      <c r="O33" s="169" t="s"/>
      <c r="P33" s="170" t="s"/>
      <c r="Q33" s="181" t="s">
        <f>=IF(OR(COUNTIF(AD31:AI31,0)&gt;0,COUNTIF(AD33:AF33,0)&gt;0),"",INDEX(AD31:AI31,MATCH(TRUE,ISNA(MATCH(AD31:AI31,AD33:AF33,0)),0)))</f>
      </c>
      <c r="R33" s="171" t="s"/>
      <c r="S33" s="198" t="s">
        <f>=IF(OR(COUNTIF(AD31:AI31,0)&gt;0,COUNTIF(AD33:AG33,0)&gt;0),"",INDEX(AD31:AI31,MATCH(TRUE,ISNA(MATCH(AD31:AI31,AD33:AG33,0)),0)))</f>
      </c>
      <c r="T33" s="199" t="s"/>
      <c r="U33" s="181" t="s">
        <f>=IF(OR(COUNTIF(AD31:AI31,0)&gt;0,COUNTIF(AD33:AH33,0)&gt;0),"",INDEX(AD31:AI31,MATCH(TRUE,ISNA(MATCH(AD31:AI31,AD33:AH33,0)),0)))</f>
      </c>
      <c r="V33" s="171" t="s"/>
      <c r="W33" s="200" t="s"/>
      <c r="X33" s="200" t="s"/>
      <c r="Y33" s="181">
        <f>=IF(OR(A31="前置OD1",A31="后置OD1"),AK33,IF(OR(A31="前置OD2",A31="后置OD2"),AL33,IF(OR(A31="前置OD3",A31="后置OD3"),AM33,IF(LEFT(A33,2)="后置",Y31+E32+J32+O32+W31,Y31+E32+J32+O32+W31+X31))))</f>
        <v>0</v>
      </c>
      <c r="Z33" s="181">
        <f>=IF(Y33&lt;$AJ$4,Y33,$AJ$4)</f>
        <v>0</v>
      </c>
      <c r="AA33" s="181">
        <f>=F34+K34+P34</f>
        <v>0</v>
      </c>
      <c r="AB33" s="195" t="s"/>
      <c r="AC33" s="195" t="s"/>
      <c r="AD33" s="176">
        <f>=B33</f>
        <v>0</v>
      </c>
      <c r="AE33" s="176">
        <f>=G33</f>
        <v>0</v>
      </c>
      <c r="AF33" s="176">
        <f>=L33</f>
        <v>0</v>
      </c>
      <c r="AG33" s="176" t="s">
        <f>=Q33</f>
      </c>
      <c r="AH33" s="176" t="s">
        <f>=S33</f>
      </c>
      <c r="AI33" s="176" t="s">
        <f>=U33</f>
      </c>
      <c r="AK33" s="189">
        <f>=Z31-$AJ$4/3+E32+J32+O32+X31</f>
        <v>-100</v>
      </c>
      <c r="AL33" s="189">
        <f>=Z31-$AJ$4/3*2+E32+J32+O32+X31</f>
        <v>-200</v>
      </c>
      <c r="AM33" s="189">
        <f>=Z31-$AJ$4+E32+J32+O32+X31</f>
        <v>-300</v>
      </c>
    </row>
    <row r="34" spans="1:39" ht="16.5" customHeight="1">
      <c r="A34" s="206" t="s"/>
      <c r="B34" s="202" t="e">
        <f>=CHOOSE(MATCH(B33,B31:U31,0),B32-C32+D32,0,0,0,0,G32-H32+I32,0,0,0,0,L32-M32+N32,0,0,0,0,Q32+R32,0,S32+T32,0,U32+V32)</f>
        <v>#N/A</v>
      </c>
      <c r="C34" s="180" t="s"/>
      <c r="D34" s="180" t="s"/>
      <c r="E34" s="185" t="s"/>
      <c r="F34" s="203" t="s"/>
      <c r="G34" s="202" t="e">
        <f>=CHOOSE(MATCH(G33,B31:U31,0),B32-C32+D32,0,0,0,0,G32-H32+I32,0,0,0,0,L32-M32+N32,0,0,0,0,Q32+R32,0,S32+T32,0,U32+V32)</f>
        <v>#N/A</v>
      </c>
      <c r="H34" s="180" t="s"/>
      <c r="I34" s="180" t="s"/>
      <c r="J34" s="185" t="s"/>
      <c r="K34" s="203" t="s"/>
      <c r="L34" s="202" t="e">
        <f>=CHOOSE(MATCH(L33,B31:U31,0),B32-C32+D32,0,0,0,0,G32-H32+I32,0,0,0,0,L32-M32+N32,0,0,0,0,Q32+R32,0,S32+T32,0,U32+V32)</f>
        <v>#N/A</v>
      </c>
      <c r="M34" s="180" t="s"/>
      <c r="N34" s="180" t="s"/>
      <c r="O34" s="185" t="s"/>
      <c r="P34" s="203" t="s"/>
      <c r="Q34" s="181" t="e">
        <f>=CHOOSE(MATCH(Q33,B31:U31,0),B32-C32+D32,0,0,0,0,G32-H32+I32,0,0,0,0,L32-M32+N32,0,0,0,0,Q32+R32,0,S32+T32,0,U32+V32)</f>
        <v>#N/A</v>
      </c>
      <c r="R34" s="180" t="s"/>
      <c r="S34" s="181" t="e">
        <f>=CHOOSE(MATCH(S33,B31:U31,0),B32-C32+D32,0,0,0,0,G32-H32+I32,0,0,0,0,L32-M32+N32,0,0,0,0,Q32+R32,0,S32+T32,0,U32+V32)</f>
        <v>#N/A</v>
      </c>
      <c r="T34" s="180" t="s"/>
      <c r="U34" s="181" t="e">
        <f>=CHOOSE(MATCH(U33,B31:U31,0),B32-C32+D32,0,0,0,0,G32-H32+I32,0,0,0,0,L32-M32+N32,0,0,0,0,Q32+R32,0,S32+T32,0,U32+V32)</f>
        <v>#N/A</v>
      </c>
      <c r="V34" s="180" t="s"/>
      <c r="W34" s="188" t="s"/>
      <c r="X34" s="204" t="s"/>
      <c r="Y34" s="181" t="s"/>
      <c r="Z34" s="208" t="s"/>
      <c r="AA34" s="209" t="s"/>
      <c r="AB34" s="195" t="s"/>
      <c r="AC34" s="195" t="s"/>
      <c r="AK34" s="176" t="s"/>
      <c r="AL34" s="176" t="s"/>
      <c r="AM34" s="176" t="s"/>
    </row>
    <row r="35" spans="1:39" ht="16.5" customHeight="1">
      <c r="A35" s="210">
        <v>16</v>
      </c>
      <c r="B35" s="210" t="s"/>
      <c r="C35" s="168" t="s"/>
      <c r="D35" s="169" t="s"/>
      <c r="E35" s="169" t="s"/>
      <c r="F35" s="170" t="s"/>
      <c r="G35" s="210" t="s"/>
      <c r="H35" s="168" t="s"/>
      <c r="I35" s="169" t="s"/>
      <c r="J35" s="169" t="s"/>
      <c r="K35" s="170" t="s"/>
      <c r="L35" s="210" t="s"/>
      <c r="M35" s="168" t="s"/>
      <c r="N35" s="169" t="s"/>
      <c r="O35" s="169" t="s"/>
      <c r="P35" s="170" t="s"/>
      <c r="Q35" s="181" t="s">
        <f>=IF(OR(COUNTIF(AD33:AI33,0)&gt;0,COUNTIF(AD35:AF35,0)&gt;0),"",INDEX(AD33:AI33,MATCH(TRUE,ISNA(MATCH(AD33:AI33,AD35:AF35,0)),0)))</f>
      </c>
      <c r="R35" s="171" t="s"/>
      <c r="S35" s="198" t="s">
        <f>=IF(OR(COUNTIF(AD33:AI33,0)&gt;0,COUNTIF(AD35:AG35,0)&gt;0),"",INDEX(AD33:AI33,MATCH(TRUE,ISNA(MATCH(AD33:AI33,AD35:AG35,0)),0)))</f>
      </c>
      <c r="T35" s="199" t="s"/>
      <c r="U35" s="181" t="s">
        <f>=IF(OR(COUNTIF(AD33:AI33,0)&gt;0,COUNTIF(AD35:AH35,0)&gt;0),"",INDEX(AD33:AI33,MATCH(TRUE,ISNA(MATCH(AD33:AI33,AD35:AH35,0)),0)))</f>
      </c>
      <c r="V35" s="171" t="s"/>
      <c r="W35" s="200" t="s"/>
      <c r="X35" s="200" t="s"/>
      <c r="Y35" s="181">
        <f>=IF(OR(A33="前置OD1",A33="后置OD1"),AK35,IF(OR(A33="前置OD2",A33="后置OD2"),AL35,IF(OR(A33="前置OD3",A33="后置OD3"),AM35,IF(LEFT(A35,2)="后置",Y33+E34+J34+O34+W33,Y33+E34+J34+O34+W33+X33))))</f>
        <v>0</v>
      </c>
      <c r="Z35" s="181">
        <f>=IF(Y35&lt;$AJ$4,Y35,$AJ$4)</f>
        <v>0</v>
      </c>
      <c r="AA35" s="181">
        <f>=F36+K36+P36</f>
        <v>0</v>
      </c>
      <c r="AB35" s="195" t="s"/>
      <c r="AC35" s="195" t="s"/>
      <c r="AD35" s="176">
        <f>=B35</f>
        <v>0</v>
      </c>
      <c r="AE35" s="176">
        <f>=G35</f>
        <v>0</v>
      </c>
      <c r="AF35" s="176">
        <f>=L35</f>
        <v>0</v>
      </c>
      <c r="AG35" s="176" t="s">
        <f>=Q35</f>
      </c>
      <c r="AH35" s="176" t="s">
        <f>=S35</f>
      </c>
      <c r="AI35" s="176" t="s">
        <f>=U35</f>
      </c>
      <c r="AK35" s="189">
        <f>=Z33-$AJ$4/3+E34+J34+O34+X33</f>
        <v>-100</v>
      </c>
      <c r="AL35" s="189">
        <f>=Z33-$AJ$4/3*2+E34+J34+O34+X33</f>
        <v>-200</v>
      </c>
      <c r="AM35" s="189">
        <f>=Z33-$AJ$4+E34+J34+O34+X33</f>
        <v>-300</v>
      </c>
    </row>
    <row r="36" spans="1:39" ht="16.5" customHeight="1">
      <c r="A36" s="177" t="s"/>
      <c r="B36" s="202" t="e">
        <f>=CHOOSE(MATCH(B35,B33:U33,0),B34-C34+D34,0,0,0,0,G34-H34+I34,0,0,0,0,L34-M34+N34,0,0,0,0,Q34+R34,0,S34+T34,0,U34+V34)</f>
        <v>#N/A</v>
      </c>
      <c r="C36" s="180" t="s"/>
      <c r="D36" s="180" t="s"/>
      <c r="E36" s="185" t="s"/>
      <c r="F36" s="203" t="s"/>
      <c r="G36" s="202" t="e">
        <f>=CHOOSE(MATCH(G35,B33:U33,0),B34-C34+D34,0,0,0,0,G34-H34+I34,0,0,0,0,L34-M34+N34,0,0,0,0,Q34+R34,0,S34+T34,0,U34+V34)</f>
        <v>#N/A</v>
      </c>
      <c r="H36" s="180" t="s"/>
      <c r="I36" s="180" t="s"/>
      <c r="J36" s="185" t="s"/>
      <c r="K36" s="203" t="s"/>
      <c r="L36" s="202" t="e">
        <f>=CHOOSE(MATCH(L35,B33:U33,0),B34-C34+D34,0,0,0,0,G34-H34+I34,0,0,0,0,L34-M34+N34,0,0,0,0,Q34+R34,0,S34+T34,0,U34+V34)</f>
        <v>#N/A</v>
      </c>
      <c r="M36" s="180" t="s"/>
      <c r="N36" s="180" t="s"/>
      <c r="O36" s="185" t="s"/>
      <c r="P36" s="203" t="s"/>
      <c r="Q36" s="181" t="e">
        <f>=CHOOSE(MATCH(Q35,B33:U33,0),B34-C34+D34,0,0,0,0,G34-H34+I34,0,0,0,0,L34-M34+N34,0,0,0,0,Q34+R34,0,S34+T34,0,U34+V34)</f>
        <v>#N/A</v>
      </c>
      <c r="R36" s="180" t="s"/>
      <c r="S36" s="181" t="e">
        <f>=CHOOSE(MATCH(S35,B33:U33,0),B34-C34+D34,0,0,0,0,G34-H34+I34,0,0,0,0,L34-M34+N34,0,0,0,0,Q34+R34,0,S34+T34,0,U34+V34)</f>
        <v>#N/A</v>
      </c>
      <c r="T36" s="180" t="s"/>
      <c r="U36" s="181" t="e">
        <f>=CHOOSE(MATCH(U35,B33:U33,0),B34-C34+D34,0,0,0,0,G34-H34+I34,0,0,0,0,L34-M34+N34,0,0,0,0,Q34+R34,0,S34+T34,0,U34+V34)</f>
        <v>#N/A</v>
      </c>
      <c r="V36" s="180" t="s"/>
      <c r="W36" s="188" t="s"/>
      <c r="X36" s="204" t="s"/>
      <c r="Y36" s="181" t="s"/>
      <c r="Z36" s="208" t="s"/>
      <c r="AA36" s="209" t="s"/>
      <c r="AB36" s="195" t="s"/>
      <c r="AC36" s="195" t="s"/>
      <c r="AK36" s="176" t="s"/>
      <c r="AL36" s="176" t="s"/>
      <c r="AM36" s="176" t="s"/>
    </row>
    <row r="37" spans="1:39" ht="16.5" customHeight="1">
      <c r="A37" s="210">
        <v>17</v>
      </c>
      <c r="B37" s="210" t="s"/>
      <c r="C37" s="168" t="s"/>
      <c r="D37" s="169" t="s"/>
      <c r="E37" s="169" t="s"/>
      <c r="F37" s="170" t="s"/>
      <c r="G37" s="210" t="s"/>
      <c r="H37" s="168" t="s"/>
      <c r="I37" s="169" t="s"/>
      <c r="J37" s="169" t="s"/>
      <c r="K37" s="170" t="s"/>
      <c r="L37" s="210" t="s"/>
      <c r="M37" s="168" t="s"/>
      <c r="N37" s="169" t="s"/>
      <c r="O37" s="169" t="s"/>
      <c r="P37" s="170" t="s"/>
      <c r="Q37" s="181" t="s">
        <f>=IF(OR(COUNTIF(AD35:AI35,0)&gt;0,COUNTIF(AD37:AF37,0)&gt;0),"",INDEX(AD35:AI35,MATCH(TRUE,ISNA(MATCH(AD35:AI35,AD37:AF37,0)),0)))</f>
      </c>
      <c r="R37" s="171" t="s"/>
      <c r="S37" s="198" t="s">
        <f>=IF(OR(COUNTIF(AD35:AI35,0)&gt;0,COUNTIF(AD37:AG37,0)&gt;0),"",INDEX(AD35:AI35,MATCH(TRUE,ISNA(MATCH(AD35:AI35,AD37:AG37,0)),0)))</f>
      </c>
      <c r="T37" s="199" t="s"/>
      <c r="U37" s="181" t="s">
        <f>=IF(OR(COUNTIF(AD35:AI35,0)&gt;0,COUNTIF(AD37:AH37,0)&gt;0),"",INDEX(AD35:AI35,MATCH(TRUE,ISNA(MATCH(AD35:AI35,AD37:AH37,0)),0)))</f>
      </c>
      <c r="V37" s="171" t="s"/>
      <c r="W37" s="200" t="s"/>
      <c r="X37" s="200" t="s"/>
      <c r="Y37" s="181">
        <f>=IF(OR(A35="前置OD1",A35="后置OD1"),AK37,IF(OR(A35="前置OD2",A35="后置OD2"),AL37,IF(OR(A35="前置OD3",A35="后置OD3"),AM37,IF(LEFT(A37,2)="后置",Y35+E36+J36+O36+W35,Y35+E36+J36+O36+W35+X35))))</f>
        <v>0</v>
      </c>
      <c r="Z37" s="181">
        <f>=IF(Y37&lt;$AJ$4,Y37,$AJ$4)</f>
        <v>0</v>
      </c>
      <c r="AA37" s="181">
        <f>=F38+K38+P38</f>
        <v>0</v>
      </c>
      <c r="AB37" s="195" t="s"/>
      <c r="AC37" s="195" t="s"/>
      <c r="AD37" s="176">
        <f>=B37</f>
        <v>0</v>
      </c>
      <c r="AE37" s="176">
        <f>=G37</f>
        <v>0</v>
      </c>
      <c r="AF37" s="176">
        <f>=L37</f>
        <v>0</v>
      </c>
      <c r="AG37" s="176" t="s">
        <f>=Q37</f>
      </c>
      <c r="AH37" s="176" t="s">
        <f>=S37</f>
      </c>
      <c r="AI37" s="176" t="s">
        <f>=U37</f>
      </c>
      <c r="AK37" s="189">
        <f>=Z35-$AJ$4/3+E36+J36+O36+X35</f>
        <v>-100</v>
      </c>
      <c r="AL37" s="189">
        <f>=Z35-$AJ$4/3*2+E36+J36+O36+X35</f>
        <v>-200</v>
      </c>
      <c r="AM37" s="189">
        <f>=Z35-$AJ$4+E36+J36+O36+X35</f>
        <v>-300</v>
      </c>
    </row>
    <row r="38" spans="1:39" ht="16.5" customHeight="1">
      <c r="A38" s="177" t="s"/>
      <c r="B38" s="202" t="e">
        <f>=CHOOSE(MATCH(B37,B35:U35,0),B36-C36+D36,0,0,0,0,G36-H36+I36,0,0,0,0,L36-M36+N36,0,0,0,0,Q36+R36,0,S36+T36,0,U36+V36)</f>
        <v>#N/A</v>
      </c>
      <c r="C38" s="180" t="s"/>
      <c r="D38" s="180" t="s"/>
      <c r="E38" s="185" t="s"/>
      <c r="F38" s="203" t="s"/>
      <c r="G38" s="202" t="e">
        <f>=CHOOSE(MATCH(G37,B35:U35,0),B36-C36+D36,0,0,0,0,G36-H36+I36,0,0,0,0,L36-M36+N36,0,0,0,0,Q36+R36,0,S36+T36,0,U36+V36)</f>
        <v>#N/A</v>
      </c>
      <c r="H38" s="180" t="s"/>
      <c r="I38" s="180" t="s"/>
      <c r="J38" s="185" t="s"/>
      <c r="K38" s="203" t="s"/>
      <c r="L38" s="202" t="e">
        <f>=CHOOSE(MATCH(L37,B35:U35,0),B36-C36+D36,0,0,0,0,G36-H36+I36,0,0,0,0,L36-M36+N36,0,0,0,0,Q36+R36,0,S36+T36,0,U36+V36)</f>
        <v>#N/A</v>
      </c>
      <c r="M38" s="180" t="s"/>
      <c r="N38" s="180" t="s"/>
      <c r="O38" s="185" t="s"/>
      <c r="P38" s="203" t="s"/>
      <c r="Q38" s="181" t="e">
        <f>=CHOOSE(MATCH(Q37,B35:U35,0),B36-C36+D36,0,0,0,0,G36-H36+I36,0,0,0,0,L36-M36+N36,0,0,0,0,Q36+R36,0,S36+T36,0,U36+V36)</f>
        <v>#N/A</v>
      </c>
      <c r="R38" s="180" t="s"/>
      <c r="S38" s="181" t="e">
        <f>=CHOOSE(MATCH(S37,B35:U35,0),B36-C36+D36,0,0,0,0,G36-H36+I36,0,0,0,0,L36-M36+N36,0,0,0,0,Q36+R36,0,S36+T36,0,U36+V36)</f>
        <v>#N/A</v>
      </c>
      <c r="T38" s="180" t="s"/>
      <c r="U38" s="181" t="e">
        <f>=CHOOSE(MATCH(U37,B35:U35,0),B36-C36+D36,0,0,0,0,G36-H36+I36,0,0,0,0,L36-M36+N36,0,0,0,0,Q36+R36,0,S36+T36,0,U36+V36)</f>
        <v>#N/A</v>
      </c>
      <c r="V38" s="180" t="s"/>
      <c r="W38" s="188" t="s"/>
      <c r="X38" s="207" t="s"/>
      <c r="Y38" s="181" t="s"/>
      <c r="Z38" s="208" t="s"/>
      <c r="AA38" s="209" t="s"/>
      <c r="AB38" s="195" t="s"/>
      <c r="AC38" s="195" t="s"/>
      <c r="AK38" s="176" t="s"/>
      <c r="AL38" s="176" t="s"/>
      <c r="AM38" s="176" t="s"/>
    </row>
    <row r="39" spans="1:39" ht="16.5" customHeight="1">
      <c r="A39" s="210">
        <v>18</v>
      </c>
      <c r="B39" s="210" t="s"/>
      <c r="C39" s="168" t="s"/>
      <c r="D39" s="169" t="s"/>
      <c r="E39" s="169" t="s"/>
      <c r="F39" s="170" t="s"/>
      <c r="G39" s="210" t="s"/>
      <c r="H39" s="168" t="s"/>
      <c r="I39" s="169" t="s"/>
      <c r="J39" s="169" t="s"/>
      <c r="K39" s="170" t="s"/>
      <c r="L39" s="210" t="s"/>
      <c r="M39" s="168" t="s"/>
      <c r="N39" s="169" t="s"/>
      <c r="O39" s="169" t="s"/>
      <c r="P39" s="170" t="s"/>
      <c r="Q39" s="181" t="s">
        <f>=IF(OR(COUNTIF(AD37:AI37,0)&gt;0,COUNTIF(AD39:AF39,0)&gt;0),"",INDEX(AD37:AI37,MATCH(TRUE,ISNA(MATCH(AD37:AI37,AD39:AF39,0)),0)))</f>
      </c>
      <c r="R39" s="171" t="s"/>
      <c r="S39" s="198" t="s">
        <f>=IF(OR(COUNTIF(AD37:AI37,0)&gt;0,COUNTIF(AD39:AG39,0)&gt;0),"",INDEX(AD37:AI37,MATCH(TRUE,ISNA(MATCH(AD37:AI37,AD39:AG39,0)),0)))</f>
      </c>
      <c r="T39" s="199" t="s"/>
      <c r="U39" s="181" t="s">
        <f>=IF(OR(COUNTIF(AD37:AI37,0)&gt;0,COUNTIF(AD39:AH39,0)&gt;0),"",INDEX(AD37:AI37,MATCH(TRUE,ISNA(MATCH(AD37:AI37,AD39:AH39,0)),0)))</f>
      </c>
      <c r="V39" s="171" t="s"/>
      <c r="W39" s="200" t="s"/>
      <c r="X39" s="200" t="s"/>
      <c r="Y39" s="181">
        <f>=IF(OR(A37="前置OD1",A37="后置OD1"),AK39,IF(OR(A37="前置OD2",A37="后置OD2"),AL39,IF(OR(A37="前置OD3",A37="后置OD3"),AM39,IF(LEFT(A39,2)="后置",Y37+E38+J38+O38+W37,Y37+E38+J38+O38+W37+X37))))</f>
        <v>0</v>
      </c>
      <c r="Z39" s="181">
        <f>=IF(Y39&lt;$AJ$4,Y39,$AJ$4)</f>
        <v>0</v>
      </c>
      <c r="AA39" s="181">
        <f>=F40+K40+P40</f>
        <v>0</v>
      </c>
      <c r="AB39" s="195" t="s"/>
      <c r="AC39" s="195" t="s"/>
      <c r="AD39" s="176">
        <f>=B39</f>
        <v>0</v>
      </c>
      <c r="AE39" s="176">
        <f>=G39</f>
        <v>0</v>
      </c>
      <c r="AF39" s="176">
        <f>=L39</f>
        <v>0</v>
      </c>
      <c r="AG39" s="176" t="s">
        <f>=Q39</f>
      </c>
      <c r="AH39" s="176" t="s">
        <f>=S39</f>
      </c>
      <c r="AI39" s="176" t="s">
        <f>=U39</f>
      </c>
      <c r="AK39" s="189">
        <f>=Z37-$AJ$4/3+E38+J38+O38+X37</f>
        <v>-100</v>
      </c>
      <c r="AL39" s="189">
        <f>=Z37-$AJ$4/3*2+E38+J38+O38+X37</f>
        <v>-200</v>
      </c>
      <c r="AM39" s="189">
        <f>=Z37-$AJ$4+E38+J38+O38+X37</f>
        <v>-300</v>
      </c>
    </row>
    <row r="40" spans="1:39" ht="16.5" customHeight="1">
      <c r="A40" s="177" t="s"/>
      <c r="B40" s="202" t="e">
        <f>=CHOOSE(MATCH(B39,B37:U37,0),B38-C38+D38,0,0,0,0,G38-H38+I38,0,0,0,0,L38-M38+N38,0,0,0,0,Q38+R38,0,S38+T38,0,U38+V38)</f>
        <v>#N/A</v>
      </c>
      <c r="C40" s="180" t="s"/>
      <c r="D40" s="180" t="s"/>
      <c r="E40" s="185" t="s"/>
      <c r="F40" s="203" t="s"/>
      <c r="G40" s="202" t="e">
        <f>=CHOOSE(MATCH(G39,B37:U37,0),B38-C38+D38,0,0,0,0,G38-H38+I38,0,0,0,0,L38-M38+N38,0,0,0,0,Q38+R38,0,S38+T38,0,U38+V38)</f>
        <v>#N/A</v>
      </c>
      <c r="H40" s="180" t="s"/>
      <c r="I40" s="180" t="s"/>
      <c r="J40" s="185" t="s"/>
      <c r="K40" s="203" t="s"/>
      <c r="L40" s="202" t="e">
        <f>=CHOOSE(MATCH(L39,B37:U37,0),B38-C38+D38,0,0,0,0,G38-H38+I38,0,0,0,0,L38-M38+N38,0,0,0,0,Q38+R38,0,S38+T38,0,U38+V38)</f>
        <v>#N/A</v>
      </c>
      <c r="M40" s="180" t="s"/>
      <c r="N40" s="180" t="s"/>
      <c r="O40" s="185" t="s"/>
      <c r="P40" s="203" t="s"/>
      <c r="Q40" s="181" t="e">
        <f>=CHOOSE(MATCH(Q39,B37:U37,0),B38-C38+D38,0,0,0,0,G38-H38+I38,0,0,0,0,L38-M38+N38,0,0,0,0,Q38+R38,0,S38+T38,0,U38+V38)</f>
        <v>#N/A</v>
      </c>
      <c r="R40" s="180" t="s"/>
      <c r="S40" s="181" t="e">
        <f>=CHOOSE(MATCH(S39,B37:U37,0),B38-C38+D38,0,0,0,0,G38-H38+I38,0,0,0,0,L38-M38+N38,0,0,0,0,Q38+R38,0,S38+T38,0,U38+V38)</f>
        <v>#N/A</v>
      </c>
      <c r="T40" s="180" t="s"/>
      <c r="U40" s="181" t="e">
        <f>=CHOOSE(MATCH(U39,B37:U37,0),B38-C38+D38,0,0,0,0,G38-H38+I38,0,0,0,0,L38-M38+N38,0,0,0,0,Q38+R38,0,S38+T38,0,U38+V38)</f>
        <v>#N/A</v>
      </c>
      <c r="V40" s="180" t="s"/>
      <c r="W40" s="188" t="s"/>
      <c r="X40" s="204" t="s"/>
      <c r="Y40" s="181" t="s"/>
      <c r="Z40" s="208" t="s"/>
      <c r="AA40" s="209" t="s"/>
      <c r="AB40" s="195" t="s"/>
      <c r="AC40" s="195" t="s"/>
      <c r="AK40" s="176" t="s"/>
      <c r="AL40" s="176" t="s"/>
      <c r="AM40" s="176" t="s"/>
    </row>
    <row r="41" spans="1:39" ht="16.5" customHeight="1">
      <c r="A41" s="210">
        <v>19</v>
      </c>
      <c r="B41" s="210" t="s"/>
      <c r="C41" s="168" t="s"/>
      <c r="D41" s="169" t="s"/>
      <c r="E41" s="169" t="s"/>
      <c r="F41" s="170" t="s"/>
      <c r="G41" s="210" t="s"/>
      <c r="H41" s="168" t="s"/>
      <c r="I41" s="169" t="s"/>
      <c r="J41" s="169" t="s"/>
      <c r="K41" s="170" t="s"/>
      <c r="L41" s="210" t="s"/>
      <c r="M41" s="168" t="s"/>
      <c r="N41" s="169" t="s"/>
      <c r="O41" s="169" t="s"/>
      <c r="P41" s="170" t="s"/>
      <c r="Q41" s="181" t="s">
        <f>=IF(OR(COUNTIF(AD39:AI39,0)&gt;0,COUNTIF(AD41:AF41,0)&gt;0),"",INDEX(AD39:AI39,MATCH(TRUE,ISNA(MATCH(AD39:AI39,AD41:AF41,0)),0)))</f>
      </c>
      <c r="R41" s="171" t="s"/>
      <c r="S41" s="198" t="s">
        <f>=IF(OR(COUNTIF(AD39:AI39,0)&gt;0,COUNTIF(AD41:AG41,0)&gt;0),"",INDEX(AD39:AI39,MATCH(TRUE,ISNA(MATCH(AD39:AI39,AD41:AG41,0)),0)))</f>
      </c>
      <c r="T41" s="199" t="s"/>
      <c r="U41" s="181" t="s">
        <f>=IF(OR(COUNTIF(AD39:AI39,0)&gt;0,COUNTIF(AD41:AH41,0)&gt;0),"",INDEX(AD39:AI39,MATCH(TRUE,ISNA(MATCH(AD39:AI39,AD41:AH41,0)),0)))</f>
      </c>
      <c r="V41" s="171" t="s"/>
      <c r="W41" s="200" t="s"/>
      <c r="X41" s="200" t="s"/>
      <c r="Y41" s="181">
        <f>=IF(OR(A39="前置OD1",A39="后置OD1"),AK41,IF(OR(A39="前置OD2",A39="后置OD2"),AL41,IF(OR(A39="前置OD3",A39="后置OD3"),AM41,IF(LEFT(A41,2)="后置",Y39+E40+J40+O40+W39,Y39+E40+J40+O40+W39+X39))))</f>
        <v>0</v>
      </c>
      <c r="Z41" s="181">
        <f>=IF(Y41&lt;$AJ$4,Y41,$AJ$4)</f>
        <v>0</v>
      </c>
      <c r="AA41" s="181">
        <f>=F42+K42+P42</f>
        <v>0</v>
      </c>
      <c r="AB41" s="195" t="s"/>
      <c r="AC41" s="195" t="s"/>
      <c r="AD41" s="176">
        <f>=B41</f>
        <v>0</v>
      </c>
      <c r="AE41" s="176">
        <f>=G41</f>
        <v>0</v>
      </c>
      <c r="AF41" s="176">
        <f>=L41</f>
        <v>0</v>
      </c>
      <c r="AG41" s="176" t="s">
        <f>=Q41</f>
      </c>
      <c r="AH41" s="176" t="s">
        <f>=S41</f>
      </c>
      <c r="AI41" s="176" t="s">
        <f>=U41</f>
      </c>
      <c r="AK41" s="189">
        <f>=Z39-$AJ$4/3+E40+J40+O40+X39</f>
        <v>-100</v>
      </c>
      <c r="AL41" s="189">
        <f>=Z39-$AJ$4/3*2+E40+J40+O40+X39</f>
        <v>-200</v>
      </c>
      <c r="AM41" s="189">
        <f>=Z39-$AJ$4+E40+J40+O40+X39</f>
        <v>-300</v>
      </c>
    </row>
    <row r="42" spans="1:39" ht="16.5" customHeight="1">
      <c r="A42" s="177" t="s"/>
      <c r="B42" s="202" t="e">
        <f>=CHOOSE(MATCH(B41,B39:U39,0),B40-C40+D40,0,0,0,0,G40-H40+I40,0,0,0,0,L40-M40+N40,0,0,0,0,Q40+R40,0,S40+T40,0,U40+V40)</f>
        <v>#N/A</v>
      </c>
      <c r="C42" s="180" t="s"/>
      <c r="D42" s="180" t="s"/>
      <c r="E42" s="185" t="s"/>
      <c r="F42" s="203" t="s"/>
      <c r="G42" s="202" t="e">
        <f>=CHOOSE(MATCH(G41,B39:U39,0),B40-C40+D40,0,0,0,0,G40-H40+I40,0,0,0,0,L40-M40+N40,0,0,0,0,Q40+R40,0,S40+T40,0,U40+V40)</f>
        <v>#N/A</v>
      </c>
      <c r="H42" s="180" t="s"/>
      <c r="I42" s="180" t="s"/>
      <c r="J42" s="185" t="s"/>
      <c r="K42" s="203" t="s"/>
      <c r="L42" s="202" t="e">
        <f>=CHOOSE(MATCH(L41,B39:U39,0),B40-C40+D40,0,0,0,0,G40-H40+I40,0,0,0,0,L40-M40+N40,0,0,0,0,Q40+R40,0,S40+T40,0,U40+V40)</f>
        <v>#N/A</v>
      </c>
      <c r="M42" s="180" t="s"/>
      <c r="N42" s="180" t="s"/>
      <c r="O42" s="185" t="s"/>
      <c r="P42" s="203" t="s"/>
      <c r="Q42" s="181" t="e">
        <f>=CHOOSE(MATCH(Q41,B39:U39,0),B40-C40+D40,0,0,0,0,G40-H40+I40,0,0,0,0,L40-M40+N40,0,0,0,0,Q40+R40,0,S40+T40,0,U40+V40)</f>
        <v>#N/A</v>
      </c>
      <c r="R42" s="180" t="s"/>
      <c r="S42" s="181" t="e">
        <f>=CHOOSE(MATCH(S41,B39:U39,0),B40-C40+D40,0,0,0,0,G40-H40+I40,0,0,0,0,L40-M40+N40,0,0,0,0,Q40+R40,0,S40+T40,0,U40+V40)</f>
        <v>#N/A</v>
      </c>
      <c r="T42" s="180" t="s"/>
      <c r="U42" s="181" t="e">
        <f>=CHOOSE(MATCH(U41,B39:U39,0),B40-C40+D40,0,0,0,0,G40-H40+I40,0,0,0,0,L40-M40+N40,0,0,0,0,Q40+R40,0,S40+T40,0,U40+V40)</f>
        <v>#N/A</v>
      </c>
      <c r="V42" s="180" t="s"/>
      <c r="W42" s="188" t="s"/>
      <c r="X42" s="207" t="s"/>
      <c r="Y42" s="181" t="s"/>
      <c r="Z42" s="208" t="s"/>
      <c r="AA42" s="209" t="s"/>
      <c r="AB42" s="195" t="s"/>
      <c r="AC42" s="195" t="s"/>
      <c r="AK42" s="176" t="s"/>
      <c r="AL42" s="176" t="s"/>
      <c r="AM42" s="176" t="s"/>
    </row>
    <row r="43" spans="1:39" ht="16.5" customHeight="1">
      <c r="A43" s="210">
        <v>20</v>
      </c>
      <c r="B43" s="210" t="s"/>
      <c r="C43" s="168" t="s"/>
      <c r="D43" s="169" t="s"/>
      <c r="E43" s="169" t="s"/>
      <c r="F43" s="170" t="s"/>
      <c r="G43" s="210" t="s"/>
      <c r="H43" s="168" t="s"/>
      <c r="I43" s="169" t="s"/>
      <c r="J43" s="169" t="s"/>
      <c r="K43" s="170" t="s"/>
      <c r="L43" s="210" t="s"/>
      <c r="M43" s="168" t="s"/>
      <c r="N43" s="169" t="s"/>
      <c r="O43" s="169" t="s"/>
      <c r="P43" s="170" t="s"/>
      <c r="Q43" s="181" t="s">
        <f>=IF(OR(COUNTIF(AD41:AI41,0)&gt;0,COUNTIF(AD43:AF43,0)&gt;0),"",INDEX(AD41:AI41,MATCH(TRUE,ISNA(MATCH(AD41:AI41,AD43:AF43,0)),0)))</f>
      </c>
      <c r="R43" s="171" t="s"/>
      <c r="S43" s="198" t="s">
        <f>=IF(OR(COUNTIF(AD41:AI41,0)&gt;0,COUNTIF(AD43:AG43,0)&gt;0),"",INDEX(AD41:AI41,MATCH(TRUE,ISNA(MATCH(AD41:AI41,AD43:AG43,0)),0)))</f>
      </c>
      <c r="T43" s="199" t="s"/>
      <c r="U43" s="181" t="s">
        <f>=IF(OR(COUNTIF(AD41:AI41,0)&gt;0,COUNTIF(AD43:AH43,0)&gt;0),"",INDEX(AD41:AI41,MATCH(TRUE,ISNA(MATCH(AD41:AI41,AD43:AH43,0)),0)))</f>
      </c>
      <c r="V43" s="171" t="s"/>
      <c r="W43" s="200" t="s"/>
      <c r="X43" s="200" t="s"/>
      <c r="Y43" s="181">
        <f>=IF(OR(A41="前置OD1",A41="后置OD1"),AK43,IF(OR(A41="前置OD2",A41="后置OD2"),AL43,IF(OR(A41="前置OD3",A41="后置OD3"),AM43,IF(LEFT(A43,2)="后置",Y41+E42+J42+O42+W41,Y41+E42+J42+O42+W41+X41))))</f>
        <v>0</v>
      </c>
      <c r="Z43" s="181">
        <f>=IF(Y43&lt;$AJ$4,Y43,$AJ$4)</f>
        <v>0</v>
      </c>
      <c r="AA43" s="181">
        <f>=F44+K44+P44</f>
        <v>0</v>
      </c>
      <c r="AB43" s="195" t="s"/>
      <c r="AC43" s="195" t="s"/>
      <c r="AD43" s="176">
        <f>=B43</f>
        <v>0</v>
      </c>
      <c r="AE43" s="176">
        <f>=G43</f>
        <v>0</v>
      </c>
      <c r="AF43" s="176">
        <f>=L43</f>
        <v>0</v>
      </c>
      <c r="AG43" s="176" t="s">
        <f>=Q43</f>
      </c>
      <c r="AH43" s="176" t="s">
        <f>=S43</f>
      </c>
      <c r="AI43" s="176" t="s">
        <f>=U43</f>
      </c>
      <c r="AK43" s="189">
        <f>=Z41-$AJ$4/3+E42+J42+O42+X41</f>
        <v>-100</v>
      </c>
      <c r="AL43" s="189">
        <f>=Z41-$AJ$4/3*2+E42+J42+O42+X41</f>
        <v>-200</v>
      </c>
      <c r="AM43" s="189">
        <f>=Z41-$AJ$4+E42+J42+O42+X41</f>
        <v>-300</v>
      </c>
    </row>
    <row r="44" spans="1:39" ht="16.5" customHeight="1">
      <c r="A44" s="177" t="s"/>
      <c r="B44" s="202" t="e">
        <f>=CHOOSE(MATCH(B43,B41:U41,0),B42-C42+D42,0,0,0,0,G42-H42+I42,0,0,0,0,L42-M42+N42,0,0,0,0,Q42+R42,0,S42+T42,0,U42+V42)</f>
        <v>#N/A</v>
      </c>
      <c r="C44" s="180" t="s"/>
      <c r="D44" s="180" t="s"/>
      <c r="E44" s="185" t="s"/>
      <c r="F44" s="203" t="s"/>
      <c r="G44" s="202" t="e">
        <f>=CHOOSE(MATCH(G43,B41:U41,0),B42-C42+D42,0,0,0,0,G42-H42+I42,0,0,0,0,L42-M42+N42,0,0,0,0,Q42+R42,0,S42+T42,0,U42+V42)</f>
        <v>#N/A</v>
      </c>
      <c r="H44" s="180" t="s"/>
      <c r="I44" s="180" t="s"/>
      <c r="J44" s="185" t="s"/>
      <c r="K44" s="203" t="s"/>
      <c r="L44" s="202" t="e">
        <f>=CHOOSE(MATCH(L43,B41:U41,0),B42-C42+D42,0,0,0,0,G42-H42+I42,0,0,0,0,L42-M42+N42,0,0,0,0,Q42+R42,0,S42+T42,0,U42+V42)</f>
        <v>#N/A</v>
      </c>
      <c r="M44" s="180" t="s"/>
      <c r="N44" s="180" t="s"/>
      <c r="O44" s="185" t="s"/>
      <c r="P44" s="203" t="s"/>
      <c r="Q44" s="181" t="e">
        <f>=CHOOSE(MATCH(Q43,B41:U41,0),B42-C42+D42,0,0,0,0,G42-H42+I42,0,0,0,0,L42-M42+N42,0,0,0,0,Q42+R42,0,S42+T42,0,U42+V42)</f>
        <v>#N/A</v>
      </c>
      <c r="R44" s="180" t="s"/>
      <c r="S44" s="181" t="e">
        <f>=CHOOSE(MATCH(S43,B41:U41,0),B42-C42+D42,0,0,0,0,G42-H42+I42,0,0,0,0,L42-M42+N42,0,0,0,0,Q42+R42,0,S42+T42,0,U42+V42)</f>
        <v>#N/A</v>
      </c>
      <c r="T44" s="180" t="s"/>
      <c r="U44" s="181" t="e">
        <f>=CHOOSE(MATCH(U43,B41:U41,0),B42-C42+D42,0,0,0,0,G42-H42+I42,0,0,0,0,L42-M42+N42,0,0,0,0,Q42+R42,0,S42+T42,0,U42+V42)</f>
        <v>#N/A</v>
      </c>
      <c r="V44" s="180" t="s"/>
      <c r="W44" s="188" t="s"/>
      <c r="X44" s="204" t="s"/>
      <c r="Y44" s="181" t="s"/>
      <c r="Z44" s="208" t="s"/>
      <c r="AA44" s="209" t="s"/>
      <c r="AB44" s="195" t="s"/>
      <c r="AC44" s="195" t="s"/>
      <c r="AK44" s="176" t="s"/>
      <c r="AL44" s="176" t="s"/>
      <c r="AM44" s="176" t="s"/>
    </row>
    <row r="45" spans="2:39" ht="16.5" customHeight="1">
      <c r="B45" s="14" t="s">
        <v>3</v>
      </c>
      <c r="C45" s="15" t="s"/>
      <c r="D45" s="15" t="s"/>
      <c r="E45" s="15" t="s"/>
      <c r="F45" s="15" t="s"/>
      <c r="G45" s="15" t="s"/>
      <c r="H45" s="16" t="s"/>
      <c r="AD45" s="176" t="s">
        <f>=B45</f>
        <v>3</v>
      </c>
      <c r="AE45" s="176">
        <f>=G45</f>
        <v>0</v>
      </c>
      <c r="AF45" s="176">
        <f>=L45</f>
        <v>0</v>
      </c>
      <c r="AG45" s="176">
        <f>=Q45</f>
        <v>0</v>
      </c>
      <c r="AH45" s="176">
        <f>=S45</f>
        <v>0</v>
      </c>
      <c r="AI45" s="176">
        <f>=U45</f>
        <v>0</v>
      </c>
      <c r="AK45" s="189">
        <f>=Z43-$AJ$4/3+E44+J44+O44+X43</f>
        <v>-100</v>
      </c>
      <c r="AL45" s="189">
        <f>=Z43-$AJ$4/3*2+E44+J44+O44+X43</f>
        <v>-200</v>
      </c>
      <c r="AM45" s="189">
        <f>=Z43-$AJ$4+E44+J44+O44+X43</f>
        <v>-300</v>
      </c>
    </row>
    <row r="46" spans="2:39" ht="16.5" customHeight="1">
      <c r="B46" s="27" t="s">
        <v>177</v>
      </c>
      <c r="C46" s="28" t="s">
        <v>178</v>
      </c>
      <c r="D46" s="29" t="s">
        <v>179</v>
      </c>
      <c r="E46" s="29" t="s">
        <v>180</v>
      </c>
      <c r="F46" s="8" t="s">
        <v>9</v>
      </c>
      <c r="G46" s="8" t="s">
        <v>10</v>
      </c>
      <c r="H46" s="30" t="s">
        <v>11</v>
      </c>
      <c r="AK46" s="176" t="s"/>
      <c r="AL46" s="176" t="s"/>
      <c r="AM46" s="176" t="s"/>
    </row>
    <row r="47" spans="2:39" ht="16.5" customHeight="1">
      <c r="B47" s="37">
        <v>5</v>
      </c>
      <c r="C47" s="38" t="s"/>
      <c r="D47" s="38">
        <v>30</v>
      </c>
      <c r="E47" s="38">
        <v>15</v>
      </c>
      <c r="F47" s="4">
        <f>=IF(B47&gt;9,E47,IF(B47=0,5,IF(E47=0,0,((B47-1)/9*(E47-5)+5))))/100+1</f>
        <v>1.09444444444444</v>
      </c>
      <c r="G47" s="4">
        <f>=(ROUNDDOWN(D47*F47,2)+(B47+C47)*ROUNDDOWN(F47*2.5,2))</f>
        <v>46.48</v>
      </c>
      <c r="H47" s="9">
        <f>=G47*0.4</f>
        <v>18.592</v>
      </c>
      <c r="AD47" s="176">
        <f>=B47</f>
        <v>5</v>
      </c>
      <c r="AE47" s="176">
        <f>=G47</f>
        <v>46.48</v>
      </c>
      <c r="AF47" s="176">
        <f>=L47</f>
        <v>0</v>
      </c>
      <c r="AG47" s="176">
        <f>=Q47</f>
        <v>0</v>
      </c>
      <c r="AH47" s="176">
        <f>=S47</f>
        <v>0</v>
      </c>
      <c r="AI47" s="176">
        <f>=U47</f>
        <v>0</v>
      </c>
      <c r="AK47" s="189" t="e">
        <f>=Z45-$AJ$4/3+E46+J46+O46+X45</f>
        <v>#VALUE!</v>
      </c>
      <c r="AL47" s="189" t="e">
        <f>=Z45-$AJ$4/3*2+E46+J46+O46+X45</f>
        <v>#VALUE!</v>
      </c>
      <c r="AM47" s="189" t="e">
        <f>=Z45-$AJ$4+E46+J46+O46+X45</f>
        <v>#VALUE!</v>
      </c>
    </row>
    <row r="48" spans="2:39" ht="16.5" customHeight="1">
      <c r="B48" s="37" t="s"/>
      <c r="C48" s="38" t="s"/>
      <c r="D48" s="38">
        <v>30</v>
      </c>
      <c r="E48" s="38">
        <v>15</v>
      </c>
      <c r="F48" s="4">
        <f>=IF(B48&gt;9,E48,IF(B48=0,5,IF(E48=0,0,((B48-1)/9*(E48-5)+5))))/100+1</f>
        <v>1.05</v>
      </c>
      <c r="G48" s="4">
        <f>=(ROUNDDOWN(D48*F48,2)+(B48+C48)*ROUNDDOWN(F48*2.5,2))</f>
        <v>31.5</v>
      </c>
      <c r="H48" s="9">
        <f>=G48*0.4</f>
        <v>12.6</v>
      </c>
      <c r="AK48" s="176" t="s"/>
      <c r="AL48" s="176" t="s"/>
      <c r="AM48" s="176" t="s"/>
    </row>
    <row r="49" spans="2:39" ht="16.5" customHeight="1">
      <c r="B49" s="37" t="s"/>
      <c r="C49" s="38" t="s"/>
      <c r="D49" s="38">
        <v>30</v>
      </c>
      <c r="E49" s="38">
        <v>15</v>
      </c>
      <c r="F49" s="4">
        <f>=IF(B49&gt;9,E49,IF(B49=0,5,IF(E49=0,0,((B49-1)/9*(E49-5)+5))))/100+1</f>
        <v>1.05</v>
      </c>
      <c r="G49" s="4">
        <f>=(ROUNDDOWN(D49*F49,2)+(B49+C49)*ROUNDDOWN(F49*2.5,2))</f>
        <v>31.5</v>
      </c>
      <c r="H49" s="9">
        <f>=G49*0.4</f>
        <v>12.6</v>
      </c>
      <c r="AD49" s="176">
        <f>=B49</f>
        <v>0</v>
      </c>
      <c r="AE49" s="176">
        <f>=G49</f>
        <v>31.5</v>
      </c>
      <c r="AF49" s="176">
        <f>=L49</f>
        <v>0</v>
      </c>
      <c r="AG49" s="176">
        <f>=Q49</f>
        <v>0</v>
      </c>
      <c r="AH49" s="176">
        <f>=S49</f>
        <v>0</v>
      </c>
      <c r="AI49" s="176">
        <f>=U49</f>
        <v>0</v>
      </c>
      <c r="AK49" s="189">
        <f>=Z47-$AJ$4/3+E48+J48+O48+X47</f>
        <v>-85</v>
      </c>
      <c r="AL49" s="189">
        <f>=Z47-$AJ$4/3*2+E48+J48+O48+X47</f>
        <v>-185</v>
      </c>
      <c r="AM49" s="189">
        <f>=Z47-$AJ$4+E48+J48+O48+X47</f>
        <v>-285</v>
      </c>
    </row>
    <row r="50" spans="2:39" ht="16.5" customHeight="1">
      <c r="B50" s="47" t="s"/>
      <c r="C50" s="48" t="s"/>
      <c r="D50" s="48">
        <v>30</v>
      </c>
      <c r="E50" s="48">
        <v>15</v>
      </c>
      <c r="F50" s="4">
        <f>=IF(B50&gt;9,E50,IF(B50=0,5,IF(E50=0,0,((B50-1)/9*(E50-5)+5))))/100+1</f>
        <v>1.05</v>
      </c>
      <c r="G50" s="5">
        <f>=(ROUNDDOWN(D50*F50,2)+(B50+C50)*ROUNDDOWN(F50*2.5,2))</f>
        <v>31.5</v>
      </c>
      <c r="H50" s="49">
        <f>=G50*0.4</f>
        <v>12.6</v>
      </c>
      <c r="AK50" s="176" t="s"/>
      <c r="AL50" s="176" t="s"/>
      <c r="AM50" s="176" t="s"/>
    </row>
    <row r="51" spans="30:39" ht="16.5" customHeight="1">
      <c r="AD51" s="176">
        <f>=B51</f>
        <v>0</v>
      </c>
      <c r="AE51" s="176">
        <f>=G51</f>
        <v>0</v>
      </c>
      <c r="AF51" s="176">
        <f>=L51</f>
        <v>0</v>
      </c>
      <c r="AG51" s="176">
        <f>=Q51</f>
        <v>0</v>
      </c>
      <c r="AH51" s="176">
        <f>=S51</f>
        <v>0</v>
      </c>
      <c r="AI51" s="176">
        <f>=U51</f>
        <v>0</v>
      </c>
      <c r="AK51" s="189">
        <f>=Z49-$AJ$4/3+E50+J50+O50+X49</f>
        <v>-85</v>
      </c>
      <c r="AL51" s="189">
        <f>=Z49-$AJ$4/3*2+E50+J50+O50+X49</f>
        <v>-185</v>
      </c>
      <c r="AM51" s="189">
        <f>=Z49-$AJ$4+E50+J50+O50+X49</f>
        <v>-285</v>
      </c>
    </row>
    <row r="52" spans="37:39" ht="16.5" customHeight="1">
      <c r="AK52" s="176" t="s"/>
      <c r="AL52" s="176" t="s"/>
      <c r="AM52" s="176" t="s"/>
    </row>
    <row r="53" spans="30:39" ht="16.5" customHeight="1">
      <c r="AD53" s="176">
        <f>=B53</f>
        <v>0</v>
      </c>
      <c r="AE53" s="176">
        <f>=G53</f>
        <v>0</v>
      </c>
      <c r="AF53" s="176">
        <f>=L53</f>
        <v>0</v>
      </c>
      <c r="AG53" s="176">
        <f>=Q53</f>
        <v>0</v>
      </c>
      <c r="AH53" s="176">
        <f>=S53</f>
        <v>0</v>
      </c>
      <c r="AI53" s="176">
        <f>=U53</f>
        <v>0</v>
      </c>
      <c r="AK53" s="189">
        <f>=Z51-$AJ$4/3+E52+J52+O52+X51</f>
        <v>-100</v>
      </c>
      <c r="AL53" s="189">
        <f>=Z51-$AJ$4/3*2+E52+J52+O52+X51</f>
        <v>-200</v>
      </c>
      <c r="AM53" s="189">
        <f>=Z51-$AJ$4+E52+J52+O52+X51</f>
        <v>-300</v>
      </c>
    </row>
    <row r="54" spans="37:39" ht="16.5" customHeight="1">
      <c r="AK54" s="176" t="s"/>
      <c r="AL54" s="176" t="s"/>
      <c r="AM54" s="176" t="s"/>
    </row>
    <row r="55" spans="30:39" ht="16.5" customHeight="1">
      <c r="AD55" s="176">
        <f>=B55</f>
        <v>0</v>
      </c>
      <c r="AE55" s="176">
        <f>=G55</f>
        <v>0</v>
      </c>
      <c r="AF55" s="176">
        <f>=L55</f>
        <v>0</v>
      </c>
      <c r="AG55" s="176">
        <f>=Q55</f>
        <v>0</v>
      </c>
      <c r="AH55" s="176">
        <f>=S55</f>
        <v>0</v>
      </c>
      <c r="AI55" s="176">
        <f>=U55</f>
        <v>0</v>
      </c>
      <c r="AK55" s="189">
        <f>=Z53-$AJ$4/3+E54+J54+O54+X53</f>
        <v>-100</v>
      </c>
      <c r="AL55" s="189">
        <f>=Z53-$AJ$4/3*2+E54+J54+O54+X53</f>
        <v>-200</v>
      </c>
      <c r="AM55" s="189">
        <f>=Z53-$AJ$4+E54+J54+O54+X53</f>
        <v>-300</v>
      </c>
    </row>
    <row r="56" spans="37:39" ht="16.5" customHeight="1">
      <c r="AK56" s="176" t="s"/>
      <c r="AL56" s="176" t="s"/>
      <c r="AM56" s="176" t="s"/>
    </row>
    <row r="57" spans="30:39" ht="16.5" customHeight="1">
      <c r="AD57" s="176">
        <f>=B57</f>
        <v>0</v>
      </c>
      <c r="AE57" s="176">
        <f>=G57</f>
        <v>0</v>
      </c>
      <c r="AF57" s="176">
        <f>=L57</f>
        <v>0</v>
      </c>
      <c r="AG57" s="176">
        <f>=Q57</f>
        <v>0</v>
      </c>
      <c r="AH57" s="176">
        <f>=S57</f>
        <v>0</v>
      </c>
      <c r="AI57" s="176">
        <f>=U57</f>
        <v>0</v>
      </c>
      <c r="AK57" s="189">
        <f>=Z55-$AJ$4/3+E56+J56+O56+X55</f>
        <v>-100</v>
      </c>
      <c r="AL57" s="189">
        <f>=Z55-$AJ$4/3*2+E56+J56+O56+X55</f>
        <v>-200</v>
      </c>
      <c r="AM57" s="189">
        <f>=Z55-$AJ$4+E56+J56+O56+X55</f>
        <v>-300</v>
      </c>
    </row>
    <row r="58" spans="37:39" ht="16.5" customHeight="1">
      <c r="AK58" s="176" t="s"/>
      <c r="AL58" s="176" t="s"/>
      <c r="AM58" s="176" t="s"/>
    </row>
    <row r="59" spans="30:39" ht="16.5" customHeight="1">
      <c r="AD59" s="176">
        <f>=B59</f>
        <v>0</v>
      </c>
      <c r="AE59" s="176">
        <f>=G59</f>
        <v>0</v>
      </c>
      <c r="AF59" s="176">
        <f>=L59</f>
        <v>0</v>
      </c>
      <c r="AG59" s="176">
        <f>=Q59</f>
        <v>0</v>
      </c>
      <c r="AH59" s="176">
        <f>=S59</f>
        <v>0</v>
      </c>
      <c r="AI59" s="176">
        <f>=U59</f>
        <v>0</v>
      </c>
      <c r="AK59" s="189">
        <f>=Z57-$AJ$4/3+E58+J58+O58+X57</f>
        <v>-100</v>
      </c>
      <c r="AL59" s="189">
        <f>=Z57-$AJ$4/3*2+E58+J58+O58+X57</f>
        <v>-200</v>
      </c>
      <c r="AM59" s="189">
        <f>=Z57-$AJ$4+E58+J58+O58+X57</f>
        <v>-300</v>
      </c>
    </row>
    <row r="60" spans="37:39" ht="16.5" customHeight="1">
      <c r="AK60" s="176" t="s"/>
      <c r="AL60" s="176" t="s"/>
      <c r="AM60" s="176" t="s"/>
    </row>
    <row r="61" spans="30:39" ht="16.5" customHeight="1">
      <c r="AD61" s="176">
        <f>=B61</f>
        <v>0</v>
      </c>
      <c r="AE61" s="176">
        <f>=G61</f>
        <v>0</v>
      </c>
      <c r="AF61" s="176">
        <f>=L61</f>
        <v>0</v>
      </c>
      <c r="AG61" s="176">
        <f>=Q61</f>
        <v>0</v>
      </c>
      <c r="AH61" s="176">
        <f>=S61</f>
        <v>0</v>
      </c>
      <c r="AI61" s="176">
        <f>=U61</f>
        <v>0</v>
      </c>
      <c r="AK61" s="189">
        <f>=Z59-$AJ$4/3+E60+J60+O60+X59</f>
        <v>-100</v>
      </c>
      <c r="AL61" s="189">
        <f>=Z59-$AJ$4/3*2+E60+J60+O60+X59</f>
        <v>-200</v>
      </c>
      <c r="AM61" s="189">
        <f>=Z59-$AJ$4+E60+J60+O60+X59</f>
        <v>-300</v>
      </c>
    </row>
    <row r="62" spans="37:39" ht="16.5" customHeight="1">
      <c r="AK62" s="176" t="s"/>
      <c r="AL62" s="176" t="s"/>
      <c r="AM62" s="176" t="s"/>
    </row>
    <row r="63" spans="30:39" ht="16.5" customHeight="1">
      <c r="AD63" s="176">
        <f>=B63</f>
        <v>0</v>
      </c>
      <c r="AE63" s="176">
        <f>=G63</f>
        <v>0</v>
      </c>
      <c r="AF63" s="176">
        <f>=L63</f>
        <v>0</v>
      </c>
      <c r="AG63" s="176">
        <f>=Q63</f>
        <v>0</v>
      </c>
      <c r="AH63" s="176">
        <f>=S63</f>
        <v>0</v>
      </c>
      <c r="AI63" s="176">
        <f>=U63</f>
        <v>0</v>
      </c>
      <c r="AK63" s="189">
        <f>=Z61-$AJ$4/3+E62+J62+O62+X61</f>
        <v>-100</v>
      </c>
      <c r="AL63" s="189">
        <f>=Z61-$AJ$4/3*2+E62+J62+O62+X61</f>
        <v>-200</v>
      </c>
      <c r="AM63" s="189">
        <f>=Z61-$AJ$4+E62+J62+O62+X61</f>
        <v>-300</v>
      </c>
    </row>
    <row r="64" spans="37:39" ht="16.5" customHeight="1">
      <c r="AK64" s="176" t="s"/>
      <c r="AL64" s="176" t="s"/>
      <c r="AM64" s="176" t="s"/>
    </row>
    <row r="65" spans="30:39" ht="16.5" customHeight="1">
      <c r="AD65" s="176">
        <f>=B65</f>
        <v>0</v>
      </c>
      <c r="AE65" s="176">
        <f>=G65</f>
        <v>0</v>
      </c>
      <c r="AF65" s="176">
        <f>=L65</f>
        <v>0</v>
      </c>
      <c r="AG65" s="176">
        <f>=Q65</f>
        <v>0</v>
      </c>
      <c r="AH65" s="176">
        <f>=S65</f>
        <v>0</v>
      </c>
      <c r="AI65" s="176">
        <f>=U65</f>
        <v>0</v>
      </c>
      <c r="AK65" s="189">
        <f>=Z63-$AJ$4/3+E64+J64+O64+X63</f>
        <v>-100</v>
      </c>
      <c r="AL65" s="189">
        <f>=Z63-$AJ$4/3*2+E64+J64+O64+X63</f>
        <v>-200</v>
      </c>
      <c r="AM65" s="189">
        <f>=Z63-$AJ$4+E64+J64+O64+X63</f>
        <v>-300</v>
      </c>
    </row>
    <row r="66" spans="37:39" ht="16.5" customHeight="1">
      <c r="AK66" s="176" t="s"/>
      <c r="AL66" s="176" t="s"/>
      <c r="AM66" s="176" t="s"/>
    </row>
    <row r="67" spans="30:39" ht="16.5" customHeight="1">
      <c r="AD67" s="176">
        <f>=B67</f>
        <v>0</v>
      </c>
      <c r="AE67" s="176">
        <f>=G67</f>
        <v>0</v>
      </c>
      <c r="AF67" s="176">
        <f>=L67</f>
        <v>0</v>
      </c>
      <c r="AG67" s="176">
        <f>=Q67</f>
        <v>0</v>
      </c>
      <c r="AH67" s="176">
        <f>=S67</f>
        <v>0</v>
      </c>
      <c r="AI67" s="176">
        <f>=U67</f>
        <v>0</v>
      </c>
      <c r="AK67" s="189">
        <f>=Z65-$AJ$4/3+E66+J66+O66+X65</f>
        <v>-100</v>
      </c>
      <c r="AL67" s="189">
        <f>=Z65-$AJ$4/3*2+E66+J66+O66+X65</f>
        <v>-200</v>
      </c>
      <c r="AM67" s="189">
        <f>=Z65-$AJ$4+E66+J66+O66+X65</f>
        <v>-300</v>
      </c>
    </row>
    <row r="68" spans="37:39" ht="16.5" customHeight="1">
      <c r="AK68" s="176" t="s"/>
      <c r="AL68" s="176" t="s"/>
      <c r="AM68" s="176" t="s"/>
    </row>
    <row r="69" spans="30:39" ht="16.5" customHeight="1">
      <c r="AD69" s="211">
        <f>=B69</f>
        <v>0</v>
      </c>
      <c r="AE69" s="211">
        <f>=G69</f>
        <v>0</v>
      </c>
      <c r="AF69" s="211">
        <f>=L69</f>
        <v>0</v>
      </c>
      <c r="AG69" s="211">
        <f>=Q69</f>
        <v>0</v>
      </c>
      <c r="AH69" s="211">
        <f>=S69</f>
        <v>0</v>
      </c>
      <c r="AI69" s="211">
        <f>=U69</f>
        <v>0</v>
      </c>
      <c r="AJ69" s="211" t="s"/>
      <c r="AK69" s="189">
        <f>=Z67-$AJ$4/3+E68+J68+O68+X67</f>
        <v>-100</v>
      </c>
      <c r="AL69" s="189">
        <f>=Z67-$AJ$4/3*2+E68+J68+O68+X67</f>
        <v>-200</v>
      </c>
      <c r="AM69" s="189">
        <f>=Z67-$AJ$4+E68+J68+O68+X67</f>
        <v>-300</v>
      </c>
    </row>
    <row r="70" spans="37:39" ht="16.5" customHeight="1">
      <c r="AK70" s="176" t="s"/>
      <c r="AL70" s="176" t="s"/>
      <c r="AM70" s="176" t="s"/>
    </row>
    <row r="71" spans="30:39" ht="16.5" customHeight="1">
      <c r="AD71" s="211">
        <f>=B71</f>
        <v>0</v>
      </c>
      <c r="AE71" s="211">
        <f>=G71</f>
        <v>0</v>
      </c>
      <c r="AF71" s="211">
        <f>=L71</f>
        <v>0</v>
      </c>
      <c r="AG71" s="211">
        <f>=Q71</f>
        <v>0</v>
      </c>
      <c r="AH71" s="211">
        <f>=S71</f>
        <v>0</v>
      </c>
      <c r="AI71" s="211">
        <f>=U71</f>
        <v>0</v>
      </c>
      <c r="AJ71" s="211" t="s"/>
      <c r="AK71" s="189">
        <f>=Z69-$AJ$4/3+E70+J70+O70+X69</f>
        <v>-100</v>
      </c>
      <c r="AL71" s="189">
        <f>=Z69-$AJ$4/3*2+E70+J70+O70+X69</f>
        <v>-200</v>
      </c>
      <c r="AM71" s="189">
        <f>=Z69-$AJ$4+E70+J70+O70+X69</f>
        <v>-300</v>
      </c>
    </row>
    <row r="72" spans="37:39" ht="16.5" customHeight="1">
      <c r="AK72" s="176" t="s"/>
      <c r="AL72" s="176" t="s"/>
      <c r="AM72" s="176" t="s"/>
    </row>
    <row r="73" spans="30:39" ht="16.5" customHeight="1">
      <c r="AD73" s="211">
        <f>=B73</f>
        <v>0</v>
      </c>
      <c r="AE73" s="211">
        <f>=G73</f>
        <v>0</v>
      </c>
      <c r="AF73" s="211">
        <f>=L73</f>
        <v>0</v>
      </c>
      <c r="AG73" s="211">
        <f>=Q73</f>
        <v>0</v>
      </c>
      <c r="AH73" s="211">
        <f>=S73</f>
        <v>0</v>
      </c>
      <c r="AI73" s="211">
        <f>=U73</f>
        <v>0</v>
      </c>
      <c r="AJ73" s="211" t="s"/>
      <c r="AK73" s="189">
        <f>=Z71-$AJ$4/3+E72+J72+O72+X71</f>
        <v>-100</v>
      </c>
      <c r="AL73" s="189">
        <f>=Z71-$AJ$4/3*2+E72+J72+O72+X71</f>
        <v>-200</v>
      </c>
      <c r="AM73" s="189">
        <f>=Z71-$AJ$4+E72+J72+O72+X71</f>
        <v>-300</v>
      </c>
    </row>
    <row r="74" spans="37:39" ht="16.5" customHeight="1">
      <c r="AK74" s="176" t="s"/>
      <c r="AL74" s="176" t="s"/>
      <c r="AM74" s="176" t="s"/>
    </row>
    <row r="75" spans="30:39" ht="16.5" customHeight="1">
      <c r="AD75" s="211">
        <f>=B75</f>
        <v>0</v>
      </c>
      <c r="AE75" s="211">
        <f>=G75</f>
        <v>0</v>
      </c>
      <c r="AF75" s="211">
        <f>=L75</f>
        <v>0</v>
      </c>
      <c r="AG75" s="211">
        <f>=Q75</f>
        <v>0</v>
      </c>
      <c r="AH75" s="211">
        <f>=S75</f>
        <v>0</v>
      </c>
      <c r="AI75" s="211">
        <f>=U75</f>
        <v>0</v>
      </c>
      <c r="AJ75" s="211" t="s"/>
      <c r="AK75" s="189">
        <f>=Z73-$AJ$4/3+E74+J74+O74+X73</f>
        <v>-100</v>
      </c>
      <c r="AL75" s="189">
        <f>=Z73-$AJ$4/3*2+E74+J74+O74+X73</f>
        <v>-200</v>
      </c>
      <c r="AM75" s="189">
        <f>=Z73-$AJ$4+E74+J74+O74+X73</f>
        <v>-300</v>
      </c>
    </row>
    <row r="76" spans="37:39" ht="16.5" customHeight="1">
      <c r="AK76" s="176" t="s"/>
      <c r="AL76" s="176" t="s"/>
      <c r="AM76" s="176" t="s"/>
    </row>
    <row r="77" spans="30:39" ht="16.5" customHeight="1">
      <c r="AD77" s="211">
        <f>=B77</f>
        <v>0</v>
      </c>
      <c r="AE77" s="211">
        <f>=G77</f>
        <v>0</v>
      </c>
      <c r="AF77" s="211">
        <f>=L77</f>
        <v>0</v>
      </c>
      <c r="AG77" s="211">
        <f>=Q77</f>
        <v>0</v>
      </c>
      <c r="AH77" s="211">
        <f>=S77</f>
        <v>0</v>
      </c>
      <c r="AI77" s="211">
        <f>=U77</f>
        <v>0</v>
      </c>
      <c r="AJ77" s="211" t="s"/>
      <c r="AK77" s="189">
        <f>=Z75-$AJ$4/3+E76+J76+O76+X75</f>
        <v>-100</v>
      </c>
      <c r="AL77" s="189">
        <f>=Z75-$AJ$4/3*2+E76+J76+O76+X75</f>
        <v>-200</v>
      </c>
      <c r="AM77" s="189">
        <f>=Z75-$AJ$4+E76+J76+O76+X75</f>
        <v>-300</v>
      </c>
    </row>
    <row r="78" spans="37:39" ht="16.5" customHeight="1">
      <c r="AK78" s="176" t="s"/>
      <c r="AL78" s="176" t="s"/>
      <c r="AM78" s="176" t="s"/>
    </row>
    <row r="79" spans="30:39" ht="16.5" customHeight="1">
      <c r="AD79" s="211">
        <f>=B79</f>
        <v>0</v>
      </c>
      <c r="AE79" s="211">
        <f>=G79</f>
        <v>0</v>
      </c>
      <c r="AF79" s="211">
        <f>=L79</f>
        <v>0</v>
      </c>
      <c r="AG79" s="211">
        <f>=Q79</f>
        <v>0</v>
      </c>
      <c r="AH79" s="211">
        <f>=S79</f>
        <v>0</v>
      </c>
      <c r="AI79" s="211">
        <f>=U79</f>
        <v>0</v>
      </c>
      <c r="AJ79" s="211" t="s"/>
      <c r="AK79" s="189">
        <f>=Z77-$AJ$4/3+E78+J78+O78+X77</f>
        <v>-100</v>
      </c>
      <c r="AL79" s="189">
        <f>=Z77-$AJ$4/3*2+E78+J78+O78+X77</f>
        <v>-200</v>
      </c>
      <c r="AM79" s="189">
        <f>=Z77-$AJ$4+E78+J78+O78+X77</f>
        <v>-300</v>
      </c>
    </row>
    <row r="80" spans="37:39" ht="16.5" customHeight="1">
      <c r="AK80" s="176" t="s"/>
      <c r="AL80" s="176" t="s"/>
      <c r="AM80" s="176" t="s"/>
    </row>
    <row r="81" spans="30:39" ht="16.5" customHeight="1">
      <c r="AD81" s="211">
        <f>=B81</f>
        <v>0</v>
      </c>
      <c r="AE81" s="211">
        <f>=G81</f>
        <v>0</v>
      </c>
      <c r="AF81" s="211">
        <f>=L81</f>
        <v>0</v>
      </c>
      <c r="AG81" s="211">
        <f>=Q81</f>
        <v>0</v>
      </c>
      <c r="AH81" s="211">
        <f>=S81</f>
        <v>0</v>
      </c>
      <c r="AI81" s="211">
        <f>=U81</f>
        <v>0</v>
      </c>
      <c r="AJ81" s="211" t="s"/>
      <c r="AK81" s="189">
        <f>=Z79-$AJ$4/3+E80+J80+O80+X79</f>
        <v>-100</v>
      </c>
      <c r="AL81" s="189">
        <f>=Z79-$AJ$4/3*2+E80+J80+O80+X79</f>
        <v>-200</v>
      </c>
      <c r="AM81" s="189">
        <f>=Z79-$AJ$4+E80+J80+O80+X79</f>
        <v>-300</v>
      </c>
    </row>
    <row r="82" spans="37:39" ht="16.5" customHeight="1">
      <c r="AK82" s="176" t="s"/>
      <c r="AL82" s="176" t="s"/>
      <c r="AM82" s="176" t="s"/>
    </row>
    <row r="83" spans="30:39" ht="16.5" customHeight="1">
      <c r="AD83" s="211">
        <f>=B83</f>
        <v>0</v>
      </c>
      <c r="AE83" s="211">
        <f>=G83</f>
        <v>0</v>
      </c>
      <c r="AF83" s="211">
        <f>=L83</f>
        <v>0</v>
      </c>
      <c r="AG83" s="211">
        <f>=Q83</f>
        <v>0</v>
      </c>
      <c r="AH83" s="211">
        <f>=S83</f>
        <v>0</v>
      </c>
      <c r="AI83" s="211">
        <f>=U83</f>
        <v>0</v>
      </c>
      <c r="AJ83" s="211" t="s"/>
      <c r="AK83" s="189">
        <f>=Z81-$AJ$4/3+E82+J82+O82+X81</f>
        <v>-100</v>
      </c>
      <c r="AL83" s="189">
        <f>=Z81-$AJ$4/3*2+E82+J82+O82+X81</f>
        <v>-200</v>
      </c>
      <c r="AM83" s="189">
        <f>=Z81-$AJ$4+E82+J82+O82+X81</f>
        <v>-300</v>
      </c>
    </row>
    <row r="84" spans="37:39" ht="16.5" customHeight="1">
      <c r="AK84" s="176" t="s"/>
      <c r="AL84" s="176" t="s"/>
      <c r="AM84" s="176" t="s"/>
    </row>
    <row r="85" spans="30:39" ht="16.5" customHeight="1">
      <c r="AD85" s="211">
        <f>=B85</f>
        <v>0</v>
      </c>
      <c r="AE85" s="211">
        <f>=G85</f>
        <v>0</v>
      </c>
      <c r="AF85" s="211">
        <f>=L85</f>
        <v>0</v>
      </c>
      <c r="AG85" s="211">
        <f>=Q85</f>
        <v>0</v>
      </c>
      <c r="AH85" s="211">
        <f>=S85</f>
        <v>0</v>
      </c>
      <c r="AI85" s="211">
        <f>=U85</f>
        <v>0</v>
      </c>
      <c r="AJ85" s="211" t="s"/>
      <c r="AK85" s="189">
        <f>=Z83-$AJ$4/3+E84+J84+O84+X83</f>
        <v>-100</v>
      </c>
      <c r="AL85" s="189">
        <f>=Z83-$AJ$4/3*2+E84+J84+O84+X83</f>
        <v>-200</v>
      </c>
      <c r="AM85" s="189">
        <f>=Z83-$AJ$4+E84+J84+O84+X83</f>
        <v>-300</v>
      </c>
    </row>
    <row r="86" spans="37:39" ht="16.5" customHeight="1">
      <c r="AK86" s="176" t="s"/>
      <c r="AL86" s="176" t="s"/>
      <c r="AM86" s="176" t="s"/>
    </row>
    <row r="87" spans="30:39" ht="16.5" customHeight="1">
      <c r="AD87" s="211">
        <f>=B87</f>
        <v>0</v>
      </c>
      <c r="AE87" s="211">
        <f>=G87</f>
        <v>0</v>
      </c>
      <c r="AF87" s="211">
        <f>=L87</f>
        <v>0</v>
      </c>
      <c r="AG87" s="211">
        <f>=Q87</f>
        <v>0</v>
      </c>
      <c r="AH87" s="211">
        <f>=S87</f>
        <v>0</v>
      </c>
      <c r="AI87" s="211">
        <f>=U87</f>
        <v>0</v>
      </c>
      <c r="AJ87" s="211" t="s"/>
      <c r="AK87" s="189">
        <f>=Z85-$AJ$4/3+E86+J86+O86+X85</f>
        <v>-100</v>
      </c>
      <c r="AL87" s="189">
        <f>=Z85-$AJ$4/3*2+E86+J86+O86+X85</f>
        <v>-200</v>
      </c>
      <c r="AM87" s="189">
        <f>=Z85-$AJ$4+E86+J86+O86+X85</f>
        <v>-300</v>
      </c>
    </row>
    <row r="88" spans="37:39" ht="16.5" customHeight="1">
      <c r="AK88" s="176" t="s"/>
      <c r="AL88" s="176" t="s"/>
      <c r="AM88" s="176" t="s"/>
    </row>
    <row r="89" spans="30:39" ht="16.5" customHeight="1">
      <c r="AD89" s="211">
        <f>=B89</f>
        <v>0</v>
      </c>
      <c r="AE89" s="211">
        <f>=G89</f>
        <v>0</v>
      </c>
      <c r="AF89" s="211">
        <f>=L89</f>
        <v>0</v>
      </c>
      <c r="AG89" s="211">
        <f>=Q89</f>
        <v>0</v>
      </c>
      <c r="AH89" s="211">
        <f>=S89</f>
        <v>0</v>
      </c>
      <c r="AI89" s="211">
        <f>=U89</f>
        <v>0</v>
      </c>
      <c r="AJ89" s="211" t="s"/>
      <c r="AK89" s="189">
        <f>=Z87-$AJ$4/3+E88+J88+O88+X87</f>
        <v>-100</v>
      </c>
      <c r="AL89" s="189">
        <f>=Z87-$AJ$4/3*2+E88+J88+O88+X87</f>
        <v>-200</v>
      </c>
      <c r="AM89" s="189">
        <f>=Z87-$AJ$4+E88+J88+O88+X87</f>
        <v>-300</v>
      </c>
    </row>
    <row r="90" spans="37:39" ht="16.5" customHeight="1">
      <c r="AK90" s="176" t="s"/>
      <c r="AL90" s="176" t="s"/>
      <c r="AM90" s="176" t="s"/>
    </row>
    <row r="91" spans="30:39" ht="16.5" customHeight="1">
      <c r="AD91" s="211">
        <f>=B91</f>
        <v>0</v>
      </c>
      <c r="AE91" s="211">
        <f>=G91</f>
        <v>0</v>
      </c>
      <c r="AF91" s="211">
        <f>=L91</f>
        <v>0</v>
      </c>
      <c r="AG91" s="211">
        <f>=Q91</f>
        <v>0</v>
      </c>
      <c r="AH91" s="211">
        <f>=S91</f>
        <v>0</v>
      </c>
      <c r="AI91" s="211">
        <f>=U91</f>
        <v>0</v>
      </c>
      <c r="AJ91" s="211" t="s"/>
      <c r="AK91" s="189">
        <f>=Z89-$AJ$4/3+E90+J90+O90+X89</f>
        <v>-100</v>
      </c>
      <c r="AL91" s="189">
        <f>=Z89-$AJ$4/3*2+E90+J90+O90+X89</f>
        <v>-200</v>
      </c>
      <c r="AM91" s="189">
        <f>=Z89-$AJ$4+E90+J90+O90+X89</f>
        <v>-300</v>
      </c>
    </row>
    <row r="92" spans="37:39" ht="16.5" customHeight="1">
      <c r="AK92" s="176" t="s"/>
      <c r="AL92" s="176" t="s"/>
      <c r="AM92" s="176" t="s"/>
    </row>
    <row r="93" spans="30:39" ht="16.5" customHeight="1">
      <c r="AD93" s="211">
        <f>=B93</f>
        <v>0</v>
      </c>
      <c r="AE93" s="211">
        <f>=G93</f>
        <v>0</v>
      </c>
      <c r="AF93" s="211">
        <f>=L93</f>
        <v>0</v>
      </c>
      <c r="AG93" s="211">
        <f>=Q93</f>
        <v>0</v>
      </c>
      <c r="AH93" s="211">
        <f>=S93</f>
        <v>0</v>
      </c>
      <c r="AI93" s="211">
        <f>=U93</f>
        <v>0</v>
      </c>
      <c r="AJ93" s="211" t="s"/>
      <c r="AK93" s="189">
        <f>=Z91-$AJ$4/3+E92+J92+O92+X91</f>
        <v>-100</v>
      </c>
      <c r="AL93" s="189">
        <f>=Z91-$AJ$4/3*2+E92+J92+O92+X91</f>
        <v>-200</v>
      </c>
      <c r="AM93" s="189">
        <f>=Z91-$AJ$4+E92+J92+O92+X91</f>
        <v>-300</v>
      </c>
    </row>
    <row r="94" spans="37:39" ht="16.5" customHeight="1">
      <c r="AK94" s="176" t="s"/>
      <c r="AL94" s="176" t="s"/>
      <c r="AM94" s="176" t="s"/>
    </row>
    <row r="95" spans="30:39" ht="16.5" customHeight="1">
      <c r="AD95" s="211">
        <f>=B95</f>
        <v>0</v>
      </c>
      <c r="AE95" s="211">
        <f>=G95</f>
        <v>0</v>
      </c>
      <c r="AF95" s="211">
        <f>=L95</f>
        <v>0</v>
      </c>
      <c r="AG95" s="211">
        <f>=Q95</f>
        <v>0</v>
      </c>
      <c r="AH95" s="211">
        <f>=S95</f>
        <v>0</v>
      </c>
      <c r="AI95" s="211">
        <f>=U95</f>
        <v>0</v>
      </c>
      <c r="AJ95" s="211" t="s"/>
      <c r="AK95" s="189">
        <f>=Z93-$AJ$4/3+E94+J94+O94+X93</f>
        <v>-100</v>
      </c>
      <c r="AL95" s="189">
        <f>=Z93-$AJ$4/3*2+E94+J94+O94+X93</f>
        <v>-200</v>
      </c>
      <c r="AM95" s="189">
        <f>=Z93-$AJ$4+E94+J94+O94+X93</f>
        <v>-300</v>
      </c>
    </row>
    <row r="96" spans="37:39" ht="16.5" customHeight="1">
      <c r="AK96" s="176" t="s"/>
      <c r="AL96" s="176" t="s"/>
      <c r="AM96" s="176" t="s"/>
    </row>
    <row r="97" spans="30:39" ht="16.5" customHeight="1">
      <c r="AD97" s="211">
        <f>=B97</f>
        <v>0</v>
      </c>
      <c r="AE97" s="211">
        <f>=G97</f>
        <v>0</v>
      </c>
      <c r="AF97" s="211">
        <f>=L97</f>
        <v>0</v>
      </c>
      <c r="AG97" s="211">
        <f>=Q97</f>
        <v>0</v>
      </c>
      <c r="AH97" s="211">
        <f>=S97</f>
        <v>0</v>
      </c>
      <c r="AI97" s="211">
        <f>=U97</f>
        <v>0</v>
      </c>
      <c r="AJ97" s="211" t="s"/>
      <c r="AK97" s="189">
        <f>=Z95-$AJ$4/3+E96+J96+O96+X95</f>
        <v>-100</v>
      </c>
      <c r="AL97" s="189">
        <f>=Z95-$AJ$4/3*2+E96+J96+O96+X95</f>
        <v>-200</v>
      </c>
      <c r="AM97" s="189">
        <f>=Z95-$AJ$4+E96+J96+O96+X95</f>
        <v>-300</v>
      </c>
    </row>
    <row r="98" spans="37:39" ht="16.5" customHeight="1">
      <c r="AK98" s="176" t="s"/>
      <c r="AL98" s="176" t="s"/>
      <c r="AM98" s="176" t="s"/>
    </row>
    <row r="99" spans="30:39" ht="16.5" customHeight="1">
      <c r="AD99" s="211">
        <f>=B99</f>
        <v>0</v>
      </c>
      <c r="AE99" s="211">
        <f>=G99</f>
        <v>0</v>
      </c>
      <c r="AF99" s="211">
        <f>=L99</f>
        <v>0</v>
      </c>
      <c r="AG99" s="211">
        <f>=Q99</f>
        <v>0</v>
      </c>
      <c r="AH99" s="211">
        <f>=S99</f>
        <v>0</v>
      </c>
      <c r="AI99" s="211">
        <f>=U99</f>
        <v>0</v>
      </c>
      <c r="AJ99" s="211" t="s"/>
      <c r="AK99" s="189">
        <f>=Z97-$AJ$4/3+E98+J98+O98+X97</f>
        <v>-100</v>
      </c>
      <c r="AL99" s="189">
        <f>=Z97-$AJ$4/3*2+E98+J98+O98+X97</f>
        <v>-200</v>
      </c>
      <c r="AM99" s="189">
        <f>=Z97-$AJ$4+E98+J98+O98+X97</f>
        <v>-300</v>
      </c>
    </row>
    <row r="100" spans="37:39" ht="16.5" customHeight="1">
      <c r="AK100" s="176" t="s"/>
      <c r="AL100" s="176" t="s"/>
      <c r="AM100" s="176" t="s"/>
    </row>
    <row r="101" spans="30:39" ht="16.5" customHeight="1">
      <c r="AD101" s="211">
        <f>=B101</f>
        <v>0</v>
      </c>
      <c r="AE101" s="211">
        <f>=G101</f>
        <v>0</v>
      </c>
      <c r="AF101" s="211">
        <f>=L101</f>
        <v>0</v>
      </c>
      <c r="AG101" s="211">
        <f>=Q101</f>
        <v>0</v>
      </c>
      <c r="AH101" s="211">
        <f>=S101</f>
        <v>0</v>
      </c>
      <c r="AI101" s="211">
        <f>=U101</f>
        <v>0</v>
      </c>
      <c r="AJ101" s="211" t="s"/>
      <c r="AK101" s="189">
        <f>=Z99-$AJ$4/3+E100+J100+O100+X99</f>
        <v>-100</v>
      </c>
      <c r="AL101" s="189">
        <f>=Z99-$AJ$4/3*2+E100+J100+O100+X99</f>
        <v>-200</v>
      </c>
      <c r="AM101" s="189">
        <f>=Z99-$AJ$4+E100+J100+O100+X99</f>
        <v>-300</v>
      </c>
    </row>
    <row r="102" spans="37:39" ht="16.5" customHeight="1">
      <c r="AK102" s="176" t="s"/>
      <c r="AL102" s="176" t="s"/>
      <c r="AM102" s="176" t="s"/>
    </row>
    <row r="103" spans="30:39" ht="16.5" customHeight="1">
      <c r="AD103" s="211">
        <f>=B103</f>
        <v>0</v>
      </c>
      <c r="AE103" s="211">
        <f>=G103</f>
        <v>0</v>
      </c>
      <c r="AF103" s="211">
        <f>=L103</f>
        <v>0</v>
      </c>
      <c r="AG103" s="211">
        <f>=Q103</f>
        <v>0</v>
      </c>
      <c r="AH103" s="211">
        <f>=S103</f>
        <v>0</v>
      </c>
      <c r="AI103" s="211">
        <f>=U103</f>
        <v>0</v>
      </c>
      <c r="AJ103" s="211" t="s"/>
      <c r="AK103" s="189">
        <f>=Z101-$AJ$4/3+E102+J102+O102+X101</f>
        <v>-100</v>
      </c>
      <c r="AL103" s="189">
        <f>=Z101-$AJ$4/3*2+E102+J102+O102+X101</f>
        <v>-200</v>
      </c>
      <c r="AM103" s="189">
        <f>=Z101-$AJ$4+E102+J102+O102+X101</f>
        <v>-300</v>
      </c>
    </row>
    <row r="104" spans="37:39" ht="16.5" customHeight="1">
      <c r="AK104" s="176" t="s"/>
      <c r="AL104" s="176" t="s"/>
      <c r="AM104" s="176" t="s"/>
    </row>
    <row r="105" spans="30:39" ht="16.5" customHeight="1">
      <c r="AD105" s="211">
        <f>=B105</f>
        <v>0</v>
      </c>
      <c r="AE105" s="211">
        <f>=G105</f>
        <v>0</v>
      </c>
      <c r="AF105" s="211">
        <f>=L105</f>
        <v>0</v>
      </c>
      <c r="AG105" s="211">
        <f>=Q105</f>
        <v>0</v>
      </c>
      <c r="AH105" s="211">
        <f>=S105</f>
        <v>0</v>
      </c>
      <c r="AI105" s="211">
        <f>=U105</f>
        <v>0</v>
      </c>
      <c r="AJ105" s="211" t="s"/>
      <c r="AK105" s="189">
        <f>=Z103-$AJ$4/3+E104+J104+O104+X103</f>
        <v>-100</v>
      </c>
      <c r="AL105" s="189">
        <f>=Z103-$AJ$4/3*2+E104+J104+O104+X103</f>
        <v>-200</v>
      </c>
      <c r="AM105" s="189">
        <f>=Z103-$AJ$4+E104+J104+O104+X103</f>
        <v>-300</v>
      </c>
    </row>
    <row r="106" spans="37:39" ht="16.5" customHeight="1">
      <c r="AK106" s="176" t="s"/>
      <c r="AL106" s="176" t="s"/>
      <c r="AM106" s="176" t="s"/>
    </row>
    <row r="107" spans="30:39" ht="16.5" customHeight="1">
      <c r="AD107" s="211">
        <f>=B107</f>
        <v>0</v>
      </c>
      <c r="AE107" s="211">
        <f>=G107</f>
        <v>0</v>
      </c>
      <c r="AF107" s="211">
        <f>=L107</f>
        <v>0</v>
      </c>
      <c r="AG107" s="211">
        <f>=Q107</f>
        <v>0</v>
      </c>
      <c r="AH107" s="211">
        <f>=S107</f>
        <v>0</v>
      </c>
      <c r="AI107" s="211">
        <f>=U107</f>
        <v>0</v>
      </c>
      <c r="AJ107" s="211" t="s"/>
      <c r="AK107" s="189">
        <f>=Z105-$AJ$4/3+E106+J106+O106+X105</f>
        <v>-100</v>
      </c>
      <c r="AL107" s="189">
        <f>=Z105-$AJ$4/3*2+E106+J106+O106+X105</f>
        <v>-200</v>
      </c>
      <c r="AM107" s="189">
        <f>=Z105-$AJ$4+E106+J106+O106+X105</f>
        <v>-300</v>
      </c>
    </row>
    <row r="108" spans="37:39" ht="16.5" customHeight="1">
      <c r="AK108" s="176" t="s"/>
      <c r="AL108" s="176" t="s"/>
      <c r="AM108" s="176" t="s"/>
    </row>
    <row r="109" spans="30:39" ht="16.5" customHeight="1">
      <c r="AD109" s="211">
        <f>=B109</f>
        <v>0</v>
      </c>
      <c r="AE109" s="211">
        <f>=G109</f>
        <v>0</v>
      </c>
      <c r="AF109" s="211">
        <f>=L109</f>
        <v>0</v>
      </c>
      <c r="AG109" s="211">
        <f>=Q109</f>
        <v>0</v>
      </c>
      <c r="AH109" s="211">
        <f>=S109</f>
        <v>0</v>
      </c>
      <c r="AI109" s="211">
        <f>=U109</f>
        <v>0</v>
      </c>
      <c r="AJ109" s="211" t="s"/>
      <c r="AK109" s="189">
        <f>=Z107-$AJ$4/3+E108+J108+O108+X107</f>
        <v>-100</v>
      </c>
      <c r="AL109" s="189">
        <f>=Z107-$AJ$4/3*2+E108+J108+O108+X107</f>
        <v>-200</v>
      </c>
      <c r="AM109" s="189">
        <f>=Z107-$AJ$4+E108+J108+O108+X107</f>
        <v>-300</v>
      </c>
    </row>
    <row r="110" spans="37:39" ht="16.5" customHeight="1">
      <c r="AK110" s="176" t="s"/>
      <c r="AL110" s="176" t="s"/>
      <c r="AM110" s="176" t="s"/>
    </row>
    <row r="111" spans="30:39" ht="16.5" customHeight="1">
      <c r="AD111" s="211">
        <f>=B111</f>
        <v>0</v>
      </c>
      <c r="AE111" s="211">
        <f>=G111</f>
        <v>0</v>
      </c>
      <c r="AF111" s="211">
        <f>=L111</f>
        <v>0</v>
      </c>
      <c r="AG111" s="211">
        <f>=Q111</f>
        <v>0</v>
      </c>
      <c r="AH111" s="211">
        <f>=S111</f>
        <v>0</v>
      </c>
      <c r="AI111" s="211">
        <f>=U111</f>
        <v>0</v>
      </c>
      <c r="AJ111" s="211" t="s"/>
      <c r="AK111" s="189">
        <f>=Z109-$AJ$4/3+E110+J110+O110+X109</f>
        <v>-100</v>
      </c>
      <c r="AL111" s="189">
        <f>=Z109-$AJ$4/3*2+E110+J110+O110+X109</f>
        <v>-200</v>
      </c>
      <c r="AM111" s="189">
        <f>=Z109-$AJ$4+E110+J110+O110+X109</f>
        <v>-300</v>
      </c>
    </row>
    <row r="112" spans="37:39" ht="16.5" customHeight="1">
      <c r="AK112" s="176" t="s"/>
      <c r="AL112" s="176" t="s"/>
      <c r="AM112" s="176" t="s"/>
    </row>
    <row r="113" spans="30:39" ht="16.5" customHeight="1">
      <c r="AD113" s="211">
        <f>=B113</f>
        <v>0</v>
      </c>
      <c r="AE113" s="211">
        <f>=G113</f>
        <v>0</v>
      </c>
      <c r="AF113" s="211">
        <f>=L113</f>
        <v>0</v>
      </c>
      <c r="AG113" s="211">
        <f>=Q113</f>
        <v>0</v>
      </c>
      <c r="AH113" s="211">
        <f>=S113</f>
        <v>0</v>
      </c>
      <c r="AI113" s="211">
        <f>=U113</f>
        <v>0</v>
      </c>
      <c r="AJ113" s="211" t="s"/>
      <c r="AK113" s="189">
        <f>=Z111-$AJ$4/3+E112+J112+O112+X111</f>
        <v>-100</v>
      </c>
      <c r="AL113" s="189">
        <f>=Z111-$AJ$4/3*2+E112+J112+O112+X111</f>
        <v>-200</v>
      </c>
      <c r="AM113" s="189">
        <f>=Z111-$AJ$4+E112+J112+O112+X111</f>
        <v>-300</v>
      </c>
    </row>
    <row r="114" spans="37:39" ht="16.5" customHeight="1">
      <c r="AK114" s="176" t="s"/>
      <c r="AL114" s="176" t="s"/>
      <c r="AM114" s="176" t="s"/>
    </row>
    <row r="115" spans="30:39" ht="16.5" customHeight="1">
      <c r="AD115" s="211">
        <f>=B115</f>
        <v>0</v>
      </c>
      <c r="AE115" s="211">
        <f>=G115</f>
        <v>0</v>
      </c>
      <c r="AF115" s="211">
        <f>=L115</f>
        <v>0</v>
      </c>
      <c r="AG115" s="211">
        <f>=Q115</f>
        <v>0</v>
      </c>
      <c r="AH115" s="211">
        <f>=S115</f>
        <v>0</v>
      </c>
      <c r="AI115" s="211">
        <f>=U115</f>
        <v>0</v>
      </c>
      <c r="AJ115" s="211" t="s"/>
      <c r="AK115" s="189">
        <f>=Z113-$AJ$4/3+E114+J114+O114+X113</f>
        <v>-100</v>
      </c>
      <c r="AL115" s="189">
        <f>=Z113-$AJ$4/3*2+E114+J114+O114+X113</f>
        <v>-200</v>
      </c>
      <c r="AM115" s="189">
        <f>=Z113-$AJ$4+E114+J114+O114+X113</f>
        <v>-300</v>
      </c>
    </row>
    <row r="116" spans="37:39" ht="16.5" customHeight="1">
      <c r="AK116" s="176" t="s"/>
      <c r="AL116" s="176" t="s"/>
      <c r="AM116" s="176" t="s"/>
    </row>
    <row r="117" spans="30:39" ht="16.5" customHeight="1">
      <c r="AD117" s="211">
        <f>=B117</f>
        <v>0</v>
      </c>
      <c r="AE117" s="211">
        <f>=G117</f>
        <v>0</v>
      </c>
      <c r="AF117" s="211">
        <f>=L117</f>
        <v>0</v>
      </c>
      <c r="AG117" s="211">
        <f>=Q117</f>
        <v>0</v>
      </c>
      <c r="AH117" s="211">
        <f>=S117</f>
        <v>0</v>
      </c>
      <c r="AI117" s="211">
        <f>=U117</f>
        <v>0</v>
      </c>
      <c r="AJ117" s="211" t="s"/>
      <c r="AK117" s="189">
        <f>=Z115-$AJ$4/3+E116+J116+O116+X115</f>
        <v>-100</v>
      </c>
      <c r="AL117" s="189">
        <f>=Z115-$AJ$4/3*2+E116+J116+O116+X115</f>
        <v>-200</v>
      </c>
      <c r="AM117" s="189">
        <f>=Z115-$AJ$4+E116+J116+O116+X115</f>
        <v>-300</v>
      </c>
    </row>
    <row r="118" spans="37:39" ht="16.5" customHeight="1">
      <c r="AK118" s="176" t="s"/>
      <c r="AL118" s="176" t="s"/>
      <c r="AM118" s="176" t="s"/>
    </row>
    <row r="119" spans="30:39" ht="16.5" customHeight="1">
      <c r="AD119" s="211">
        <f>=B119</f>
        <v>0</v>
      </c>
      <c r="AE119" s="211">
        <f>=G119</f>
        <v>0</v>
      </c>
      <c r="AF119" s="211">
        <f>=L119</f>
        <v>0</v>
      </c>
      <c r="AG119" s="211">
        <f>=Q119</f>
        <v>0</v>
      </c>
      <c r="AH119" s="211">
        <f>=S119</f>
        <v>0</v>
      </c>
      <c r="AI119" s="211">
        <f>=U119</f>
        <v>0</v>
      </c>
      <c r="AJ119" s="211" t="s"/>
      <c r="AK119" s="189">
        <f>=Z117-$AJ$4/3+E118+J118+O118+X117</f>
        <v>-100</v>
      </c>
      <c r="AL119" s="189">
        <f>=Z117-$AJ$4/3*2+E118+J118+O118+X117</f>
        <v>-200</v>
      </c>
      <c r="AM119" s="189">
        <f>=Z117-$AJ$4+E118+J118+O118+X117</f>
        <v>-300</v>
      </c>
    </row>
    <row r="120" spans="37:39" ht="16.5" customHeight="1">
      <c r="AK120" s="176" t="s"/>
      <c r="AL120" s="176" t="s"/>
      <c r="AM120" s="176" t="s"/>
    </row>
    <row r="121" spans="30:39" ht="16.5" customHeight="1">
      <c r="AD121" s="211">
        <f>=B121</f>
        <v>0</v>
      </c>
      <c r="AE121" s="211">
        <f>=G121</f>
        <v>0</v>
      </c>
      <c r="AF121" s="211">
        <f>=L121</f>
        <v>0</v>
      </c>
      <c r="AG121" s="211">
        <f>=Q121</f>
        <v>0</v>
      </c>
      <c r="AH121" s="211">
        <f>=S121</f>
        <v>0</v>
      </c>
      <c r="AI121" s="211">
        <f>=U121</f>
        <v>0</v>
      </c>
      <c r="AJ121" s="211" t="s"/>
      <c r="AK121" s="189">
        <f>=Z119-$AJ$4/3+E120+J120+O120+X119</f>
        <v>-100</v>
      </c>
      <c r="AL121" s="189">
        <f>=Z119-$AJ$4/3*2+E120+J120+O120+X119</f>
        <v>-200</v>
      </c>
      <c r="AM121" s="189">
        <f>=Z119-$AJ$4+E120+J120+O120+X119</f>
        <v>-300</v>
      </c>
    </row>
    <row r="122" spans="37:39" ht="16.5" customHeight="1">
      <c r="AK122" s="176" t="s"/>
      <c r="AL122" s="176" t="s"/>
      <c r="AM122" s="176" t="s"/>
    </row>
    <row r="123" spans="30:39" ht="16.5" customHeight="1">
      <c r="AD123" s="211">
        <f>=B123</f>
        <v>0</v>
      </c>
      <c r="AE123" s="211">
        <f>=G123</f>
        <v>0</v>
      </c>
      <c r="AF123" s="211">
        <f>=L123</f>
        <v>0</v>
      </c>
      <c r="AG123" s="211">
        <f>=Q123</f>
        <v>0</v>
      </c>
      <c r="AH123" s="211">
        <f>=S123</f>
        <v>0</v>
      </c>
      <c r="AI123" s="211">
        <f>=U123</f>
        <v>0</v>
      </c>
      <c r="AJ123" s="211" t="s"/>
      <c r="AK123" s="189">
        <f>=Z121-$AJ$4/3+E122+J122+O122+X121</f>
        <v>-100</v>
      </c>
      <c r="AL123" s="189">
        <f>=Z121-$AJ$4/3*2+E122+J122+O122+X121</f>
        <v>-200</v>
      </c>
      <c r="AM123" s="189">
        <f>=Z121-$AJ$4+E122+J122+O122+X121</f>
        <v>-300</v>
      </c>
    </row>
    <row r="124" spans="37:39" ht="16.5" customHeight="1">
      <c r="AK124" s="176" t="s"/>
      <c r="AL124" s="176" t="s"/>
      <c r="AM124" s="176" t="s"/>
    </row>
    <row r="125" spans="30:39" ht="16.5" customHeight="1">
      <c r="AD125" s="211">
        <f>=B125</f>
        <v>0</v>
      </c>
      <c r="AE125" s="211">
        <f>=G125</f>
        <v>0</v>
      </c>
      <c r="AF125" s="211">
        <f>=L125</f>
        <v>0</v>
      </c>
      <c r="AG125" s="211">
        <f>=Q125</f>
        <v>0</v>
      </c>
      <c r="AH125" s="211">
        <f>=S125</f>
        <v>0</v>
      </c>
      <c r="AI125" s="211">
        <f>=U125</f>
        <v>0</v>
      </c>
      <c r="AJ125" s="211" t="s"/>
      <c r="AK125" s="189">
        <f>=Z123-$AJ$4/3+E124+J124+O124+X123</f>
        <v>-100</v>
      </c>
      <c r="AL125" s="189">
        <f>=Z123-$AJ$4/3*2+E124+J124+O124+X123</f>
        <v>-200</v>
      </c>
      <c r="AM125" s="189">
        <f>=Z123-$AJ$4+E124+J124+O124+X123</f>
        <v>-300</v>
      </c>
    </row>
    <row r="126" spans="37:39" ht="16.5" customHeight="1">
      <c r="AK126" s="176" t="s"/>
      <c r="AL126" s="176" t="s"/>
      <c r="AM126" s="176" t="s"/>
    </row>
    <row r="127" spans="30:39" ht="16.5" customHeight="1">
      <c r="AD127" s="211">
        <f>=B127</f>
        <v>0</v>
      </c>
      <c r="AE127" s="211">
        <f>=G127</f>
        <v>0</v>
      </c>
      <c r="AF127" s="211">
        <f>=L127</f>
        <v>0</v>
      </c>
      <c r="AG127" s="211">
        <f>=Q127</f>
        <v>0</v>
      </c>
      <c r="AH127" s="211">
        <f>=S127</f>
        <v>0</v>
      </c>
      <c r="AI127" s="211">
        <f>=U127</f>
        <v>0</v>
      </c>
      <c r="AJ127" s="211" t="s"/>
      <c r="AK127" s="189">
        <f>=Z125-$AJ$4/3+E126+J126+O126+X125</f>
        <v>-100</v>
      </c>
      <c r="AL127" s="189">
        <f>=Z125-$AJ$4/3*2+E126+J126+O126+X125</f>
        <v>-200</v>
      </c>
      <c r="AM127" s="189">
        <f>=Z125-$AJ$4+E126+J126+O126+X125</f>
        <v>-300</v>
      </c>
    </row>
    <row r="128" spans="37:39" ht="16.5" customHeight="1">
      <c r="AK128" s="176" t="s"/>
      <c r="AL128" s="176" t="s"/>
      <c r="AM128" s="176" t="s"/>
    </row>
    <row r="129" spans="30:39" ht="16.5" customHeight="1">
      <c r="AD129" s="211">
        <f>=B129</f>
        <v>0</v>
      </c>
      <c r="AE129" s="211">
        <f>=G129</f>
        <v>0</v>
      </c>
      <c r="AF129" s="211">
        <f>=L129</f>
        <v>0</v>
      </c>
      <c r="AG129" s="211">
        <f>=Q129</f>
        <v>0</v>
      </c>
      <c r="AH129" s="211">
        <f>=S129</f>
        <v>0</v>
      </c>
      <c r="AI129" s="211">
        <f>=U129</f>
        <v>0</v>
      </c>
      <c r="AJ129" s="211" t="s"/>
      <c r="AK129" s="189">
        <f>=Z127-$AJ$4/3+E128+J128+O128+X127</f>
        <v>-100</v>
      </c>
      <c r="AL129" s="189">
        <f>=Z127-$AJ$4/3*2+E128+J128+O128+X127</f>
        <v>-200</v>
      </c>
      <c r="AM129" s="189">
        <f>=Z127-$AJ$4+E128+J128+O128+X127</f>
        <v>-300</v>
      </c>
    </row>
    <row r="130" spans="37:39" ht="16.5" customHeight="1">
      <c r="AK130" s="176" t="s"/>
      <c r="AL130" s="176" t="s"/>
      <c r="AM130" s="176" t="s"/>
    </row>
    <row r="131" spans="30:39" ht="16.5" customHeight="1">
      <c r="AD131" s="211">
        <f>=B131</f>
        <v>0</v>
      </c>
      <c r="AE131" s="211">
        <f>=G131</f>
        <v>0</v>
      </c>
      <c r="AF131" s="211">
        <f>=L131</f>
        <v>0</v>
      </c>
      <c r="AG131" s="211">
        <f>=Q131</f>
        <v>0</v>
      </c>
      <c r="AH131" s="211">
        <f>=S131</f>
        <v>0</v>
      </c>
      <c r="AI131" s="211">
        <f>=U131</f>
        <v>0</v>
      </c>
      <c r="AJ131" s="211" t="s"/>
      <c r="AK131" s="189">
        <f>=Z129-$AJ$4/3+E130+J130+O130+X129</f>
        <v>-100</v>
      </c>
      <c r="AL131" s="189">
        <f>=Z129-$AJ$4/3*2+E130+J130+O130+X129</f>
        <v>-200</v>
      </c>
      <c r="AM131" s="189">
        <f>=Z129-$AJ$4+E130+J130+O130+X129</f>
        <v>-300</v>
      </c>
    </row>
    <row r="132" spans="37:39" ht="16.5" customHeight="1">
      <c r="AK132" s="176" t="s"/>
      <c r="AL132" s="176" t="s"/>
      <c r="AM132" s="176" t="s"/>
    </row>
    <row r="133" spans="30:39" ht="16.5" customHeight="1">
      <c r="AD133" s="211">
        <f>=B133</f>
        <v>0</v>
      </c>
      <c r="AE133" s="211">
        <f>=G133</f>
        <v>0</v>
      </c>
      <c r="AF133" s="211">
        <f>=L133</f>
        <v>0</v>
      </c>
      <c r="AG133" s="211">
        <f>=Q133</f>
        <v>0</v>
      </c>
      <c r="AH133" s="211">
        <f>=S133</f>
        <v>0</v>
      </c>
      <c r="AI133" s="211">
        <f>=U133</f>
        <v>0</v>
      </c>
      <c r="AJ133" s="211" t="s"/>
      <c r="AK133" s="189">
        <f>=Z131-$AJ$4/3+E132+J132+O132+X131</f>
        <v>-100</v>
      </c>
      <c r="AL133" s="189">
        <f>=Z131-$AJ$4/3*2+E132+J132+O132+X131</f>
        <v>-200</v>
      </c>
      <c r="AM133" s="189">
        <f>=Z131-$AJ$4+E132+J132+O132+X131</f>
        <v>-300</v>
      </c>
    </row>
    <row r="134" spans="37:39" ht="16.5" customHeight="1">
      <c r="AK134" s="176" t="s"/>
      <c r="AL134" s="176" t="s"/>
      <c r="AM134" s="176" t="s"/>
    </row>
    <row r="135" spans="30:39" ht="16.5" customHeight="1">
      <c r="AD135" s="211">
        <f>=B135</f>
        <v>0</v>
      </c>
      <c r="AE135" s="211">
        <f>=G135</f>
        <v>0</v>
      </c>
      <c r="AF135" s="211">
        <f>=L135</f>
        <v>0</v>
      </c>
      <c r="AG135" s="211">
        <f>=Q135</f>
        <v>0</v>
      </c>
      <c r="AH135" s="211">
        <f>=S135</f>
        <v>0</v>
      </c>
      <c r="AI135" s="211">
        <f>=U135</f>
        <v>0</v>
      </c>
      <c r="AJ135" s="211" t="s"/>
      <c r="AK135" s="189">
        <f>=Z133-$AJ$4/3+E134+J134+O134+X133</f>
        <v>-100</v>
      </c>
      <c r="AL135" s="189">
        <f>=Z133-$AJ$4/3*2+E134+J134+O134+X133</f>
        <v>-200</v>
      </c>
      <c r="AM135" s="189">
        <f>=Z133-$AJ$4+E134+J134+O134+X133</f>
        <v>-300</v>
      </c>
    </row>
    <row r="136" spans="37:39" ht="16.5" customHeight="1">
      <c r="AK136" s="176" t="s"/>
      <c r="AL136" s="176" t="s"/>
      <c r="AM136" s="176" t="s"/>
    </row>
    <row r="137" spans="30:39" ht="16.5" customHeight="1">
      <c r="AD137" s="211">
        <f>=B137</f>
        <v>0</v>
      </c>
      <c r="AE137" s="211">
        <f>=G137</f>
        <v>0</v>
      </c>
      <c r="AF137" s="211">
        <f>=L137</f>
        <v>0</v>
      </c>
      <c r="AG137" s="211">
        <f>=Q137</f>
        <v>0</v>
      </c>
      <c r="AH137" s="211">
        <f>=S137</f>
        <v>0</v>
      </c>
      <c r="AI137" s="211">
        <f>=U137</f>
        <v>0</v>
      </c>
      <c r="AJ137" s="211" t="s"/>
      <c r="AK137" s="189">
        <f>=Z135-$AJ$4/3+E136+J136+O136+X135</f>
        <v>-100</v>
      </c>
      <c r="AL137" s="189">
        <f>=Z135-$AJ$4/3*2+E136+J136+O136+X135</f>
        <v>-200</v>
      </c>
      <c r="AM137" s="189">
        <f>=Z135-$AJ$4+E136+J136+O136+X135</f>
        <v>-300</v>
      </c>
    </row>
    <row r="138" spans="37:39" ht="16.5" customHeight="1">
      <c r="AK138" s="176" t="s"/>
      <c r="AL138" s="176" t="s"/>
      <c r="AM138" s="176" t="s"/>
    </row>
    <row r="139" spans="30:39" ht="16.5" customHeight="1">
      <c r="AD139" s="211">
        <f>=B139</f>
        <v>0</v>
      </c>
      <c r="AE139" s="211">
        <f>=G139</f>
        <v>0</v>
      </c>
      <c r="AF139" s="211">
        <f>=L139</f>
        <v>0</v>
      </c>
      <c r="AG139" s="211">
        <f>=Q139</f>
        <v>0</v>
      </c>
      <c r="AH139" s="211">
        <f>=S139</f>
        <v>0</v>
      </c>
      <c r="AI139" s="211">
        <f>=U139</f>
        <v>0</v>
      </c>
      <c r="AJ139" s="211" t="s"/>
      <c r="AK139" s="189">
        <f>=Z137-$AJ$4/3+E138+J138+O138+X137</f>
        <v>-100</v>
      </c>
      <c r="AL139" s="189">
        <f>=Z137-$AJ$4/3*2+E138+J138+O138+X137</f>
        <v>-200</v>
      </c>
      <c r="AM139" s="189">
        <f>=Z137-$AJ$4+E138+J138+O138+X137</f>
        <v>-300</v>
      </c>
    </row>
    <row r="140" spans="37:39" ht="16.5" customHeight="1">
      <c r="AK140" s="176" t="s"/>
      <c r="AL140" s="176" t="s"/>
      <c r="AM140" s="176" t="s"/>
    </row>
    <row r="141" spans="30:39" ht="16.5" customHeight="1">
      <c r="AD141" s="211">
        <f>=B141</f>
        <v>0</v>
      </c>
      <c r="AE141" s="211">
        <f>=G141</f>
        <v>0</v>
      </c>
      <c r="AF141" s="211">
        <f>=L141</f>
        <v>0</v>
      </c>
      <c r="AG141" s="211">
        <f>=Q141</f>
        <v>0</v>
      </c>
      <c r="AH141" s="211">
        <f>=S141</f>
        <v>0</v>
      </c>
      <c r="AI141" s="211">
        <f>=U141</f>
        <v>0</v>
      </c>
      <c r="AJ141" s="211" t="s"/>
      <c r="AK141" s="189">
        <f>=Z139-$AJ$4/3+E140+J140+O140+X139</f>
        <v>-100</v>
      </c>
      <c r="AL141" s="189">
        <f>=Z139-$AJ$4/3*2+E140+J140+O140+X139</f>
        <v>-200</v>
      </c>
      <c r="AM141" s="189">
        <f>=Z139-$AJ$4+E140+J140+O140+X139</f>
        <v>-300</v>
      </c>
    </row>
    <row r="142" spans="37:39" ht="16.5" customHeight="1">
      <c r="AK142" s="176" t="s"/>
      <c r="AL142" s="176" t="s"/>
      <c r="AM142" s="176" t="s"/>
    </row>
    <row r="143" spans="30:39" ht="16.5" customHeight="1">
      <c r="AD143" s="211">
        <f>=B143</f>
        <v>0</v>
      </c>
      <c r="AE143" s="211">
        <f>=G143</f>
        <v>0</v>
      </c>
      <c r="AF143" s="211">
        <f>=L143</f>
        <v>0</v>
      </c>
      <c r="AG143" s="211">
        <f>=Q143</f>
        <v>0</v>
      </c>
      <c r="AH143" s="211">
        <f>=S143</f>
        <v>0</v>
      </c>
      <c r="AI143" s="211">
        <f>=U143</f>
        <v>0</v>
      </c>
      <c r="AJ143" s="211" t="s"/>
      <c r="AK143" s="189">
        <f>=Z141-$AJ$4/3+E142+J142+O142+X141</f>
        <v>-100</v>
      </c>
      <c r="AL143" s="189">
        <f>=Z141-$AJ$4/3*2+E142+J142+O142+X141</f>
        <v>-200</v>
      </c>
      <c r="AM143" s="189">
        <f>=Z141-$AJ$4+E142+J142+O142+X141</f>
        <v>-300</v>
      </c>
    </row>
    <row r="144" spans="37:39" ht="16.5" customHeight="1">
      <c r="AK144" s="176" t="s"/>
      <c r="AL144" s="176" t="s"/>
      <c r="AM144" s="176" t="s"/>
    </row>
    <row r="145" spans="30:39" ht="16.5" customHeight="1">
      <c r="AD145" s="211">
        <f>=B145</f>
        <v>0</v>
      </c>
      <c r="AE145" s="211">
        <f>=G145</f>
        <v>0</v>
      </c>
      <c r="AF145" s="211">
        <f>=L145</f>
        <v>0</v>
      </c>
      <c r="AG145" s="211">
        <f>=Q145</f>
        <v>0</v>
      </c>
      <c r="AH145" s="211">
        <f>=S145</f>
        <v>0</v>
      </c>
      <c r="AI145" s="211">
        <f>=U145</f>
        <v>0</v>
      </c>
      <c r="AJ145" s="211" t="s"/>
      <c r="AK145" s="189">
        <f>=Z143-$AJ$4/3+E144+J144+O144+X143</f>
        <v>-100</v>
      </c>
      <c r="AL145" s="189">
        <f>=Z143-$AJ$4/3*2+E144+J144+O144+X143</f>
        <v>-200</v>
      </c>
      <c r="AM145" s="189">
        <f>=Z143-$AJ$4+E144+J144+O144+X143</f>
        <v>-300</v>
      </c>
    </row>
    <row r="146" spans="37:39" ht="16.5" customHeight="1">
      <c r="AK146" s="176" t="s"/>
      <c r="AL146" s="176" t="s"/>
      <c r="AM146" s="176" t="s"/>
    </row>
    <row r="147" spans="30:39" ht="16.5" customHeight="1">
      <c r="AD147" s="211">
        <f>=B147</f>
        <v>0</v>
      </c>
      <c r="AE147" s="211">
        <f>=G147</f>
        <v>0</v>
      </c>
      <c r="AF147" s="211">
        <f>=L147</f>
        <v>0</v>
      </c>
      <c r="AG147" s="211">
        <f>=Q147</f>
        <v>0</v>
      </c>
      <c r="AH147" s="211">
        <f>=S147</f>
        <v>0</v>
      </c>
      <c r="AI147" s="211">
        <f>=U147</f>
        <v>0</v>
      </c>
      <c r="AJ147" s="211" t="s"/>
      <c r="AK147" s="189">
        <f>=Z145-$AJ$4/3+E146+J146+O146+X145</f>
        <v>-100</v>
      </c>
      <c r="AL147" s="189">
        <f>=Z145-$AJ$4/3*2+E146+J146+O146+X145</f>
        <v>-200</v>
      </c>
      <c r="AM147" s="189">
        <f>=Z145-$AJ$4+E146+J146+O146+X145</f>
        <v>-300</v>
      </c>
    </row>
    <row r="148" spans="37:39" ht="16.5" customHeight="1">
      <c r="AK148" s="176" t="s"/>
      <c r="AL148" s="176" t="s"/>
      <c r="AM148" s="176" t="s"/>
    </row>
    <row r="149" spans="30:39" ht="16.5" customHeight="1">
      <c r="AD149" s="211">
        <f>=B149</f>
        <v>0</v>
      </c>
      <c r="AE149" s="211">
        <f>=G149</f>
        <v>0</v>
      </c>
      <c r="AF149" s="211">
        <f>=L149</f>
        <v>0</v>
      </c>
      <c r="AG149" s="211">
        <f>=Q149</f>
        <v>0</v>
      </c>
      <c r="AH149" s="211">
        <f>=S149</f>
        <v>0</v>
      </c>
      <c r="AI149" s="211">
        <f>=U149</f>
        <v>0</v>
      </c>
      <c r="AJ149" s="211" t="s"/>
      <c r="AK149" s="189">
        <f>=Z147-$AJ$4/3+E148+J148+O148+X147</f>
        <v>-100</v>
      </c>
      <c r="AL149" s="189">
        <f>=Z147-$AJ$4/3*2+E148+J148+O148+X147</f>
        <v>-200</v>
      </c>
      <c r="AM149" s="189">
        <f>=Z147-$AJ$4+E148+J148+O148+X147</f>
        <v>-300</v>
      </c>
    </row>
    <row r="150" spans="37:39" ht="16.5" customHeight="1">
      <c r="AK150" s="176" t="s"/>
      <c r="AL150" s="176" t="s"/>
      <c r="AM150" s="176" t="s"/>
    </row>
    <row r="151" spans="30:39" ht="16.5" customHeight="1">
      <c r="AD151" s="211">
        <f>=B151</f>
        <v>0</v>
      </c>
      <c r="AE151" s="211">
        <f>=G151</f>
        <v>0</v>
      </c>
      <c r="AF151" s="211">
        <f>=L151</f>
        <v>0</v>
      </c>
      <c r="AG151" s="211">
        <f>=Q151</f>
        <v>0</v>
      </c>
      <c r="AH151" s="211">
        <f>=S151</f>
        <v>0</v>
      </c>
      <c r="AI151" s="211">
        <f>=U151</f>
        <v>0</v>
      </c>
      <c r="AJ151" s="211" t="s"/>
      <c r="AK151" s="189">
        <f>=Z149-$AJ$4/3+E150+J150+O150+X149</f>
        <v>-100</v>
      </c>
      <c r="AL151" s="189">
        <f>=Z149-$AJ$4/3*2+E150+J150+O150+X149</f>
        <v>-200</v>
      </c>
      <c r="AM151" s="189">
        <f>=Z149-$AJ$4+E150+J150+O150+X149</f>
        <v>-300</v>
      </c>
    </row>
    <row r="152" spans="37:39" ht="16.5" customHeight="1">
      <c r="AK152" s="176" t="s"/>
      <c r="AL152" s="176" t="s"/>
      <c r="AM152" s="176" t="s"/>
    </row>
    <row r="153" spans="30:39" ht="16.5" customHeight="1">
      <c r="AD153" s="211">
        <f>=B153</f>
        <v>0</v>
      </c>
      <c r="AE153" s="211">
        <f>=G153</f>
        <v>0</v>
      </c>
      <c r="AF153" s="211">
        <f>=L153</f>
        <v>0</v>
      </c>
      <c r="AG153" s="211">
        <f>=Q153</f>
        <v>0</v>
      </c>
      <c r="AH153" s="211">
        <f>=S153</f>
        <v>0</v>
      </c>
      <c r="AI153" s="211">
        <f>=U153</f>
        <v>0</v>
      </c>
      <c r="AJ153" s="211" t="s"/>
      <c r="AK153" s="189">
        <f>=Z151-$AJ$4/3+E152+J152+O152+X151</f>
        <v>-100</v>
      </c>
      <c r="AL153" s="189">
        <f>=Z151-$AJ$4/3*2+E152+J152+O152+X151</f>
        <v>-200</v>
      </c>
      <c r="AM153" s="189">
        <f>=Z151-$AJ$4+E152+J152+O152+X151</f>
        <v>-300</v>
      </c>
    </row>
    <row r="154" spans="37:39" ht="16.5" customHeight="1">
      <c r="AK154" s="176" t="s"/>
      <c r="AL154" s="176" t="s"/>
      <c r="AM154" s="176" t="s"/>
    </row>
    <row r="155" spans="30:39" ht="16.5" customHeight="1">
      <c r="AD155" s="211">
        <f>=B155</f>
        <v>0</v>
      </c>
      <c r="AE155" s="211">
        <f>=G155</f>
        <v>0</v>
      </c>
      <c r="AF155" s="211">
        <f>=L155</f>
        <v>0</v>
      </c>
      <c r="AG155" s="211">
        <f>=Q155</f>
        <v>0</v>
      </c>
      <c r="AH155" s="211">
        <f>=S155</f>
        <v>0</v>
      </c>
      <c r="AI155" s="211">
        <f>=U155</f>
        <v>0</v>
      </c>
      <c r="AJ155" s="211" t="s"/>
      <c r="AK155" s="189">
        <f>=Z153-$AJ$4/3+E154+J154+O154+X153</f>
        <v>-100</v>
      </c>
      <c r="AL155" s="189">
        <f>=Z153-$AJ$4/3*2+E154+J154+O154+X153</f>
        <v>-200</v>
      </c>
      <c r="AM155" s="189">
        <f>=Z153-$AJ$4+E154+J154+O154+X153</f>
        <v>-300</v>
      </c>
    </row>
    <row r="156" spans="37:39" ht="16.5" customHeight="1">
      <c r="AK156" s="176" t="s"/>
      <c r="AL156" s="176" t="s"/>
      <c r="AM156" s="176" t="s"/>
    </row>
    <row r="157" spans="30:39" ht="16.5" customHeight="1">
      <c r="AD157" s="211">
        <f>=B157</f>
        <v>0</v>
      </c>
      <c r="AE157" s="211">
        <f>=G157</f>
        <v>0</v>
      </c>
      <c r="AF157" s="211">
        <f>=L157</f>
        <v>0</v>
      </c>
      <c r="AG157" s="211">
        <f>=Q157</f>
        <v>0</v>
      </c>
      <c r="AH157" s="211">
        <f>=S157</f>
        <v>0</v>
      </c>
      <c r="AI157" s="211">
        <f>=U157</f>
        <v>0</v>
      </c>
      <c r="AJ157" s="211" t="s"/>
      <c r="AK157" s="189">
        <f>=Z155-$AJ$4/3+E156+J156+O156+X155</f>
        <v>-100</v>
      </c>
      <c r="AL157" s="189">
        <f>=Z155-$AJ$4/3*2+E156+J156+O156+X155</f>
        <v>-200</v>
      </c>
      <c r="AM157" s="189">
        <f>=Z155-$AJ$4+E156+J156+O156+X155</f>
        <v>-300</v>
      </c>
    </row>
    <row r="158" spans="37:39" ht="16.5" customHeight="1">
      <c r="AK158" s="176" t="s"/>
      <c r="AL158" s="176" t="s"/>
      <c r="AM158" s="176" t="s"/>
    </row>
    <row r="159" spans="30:39" ht="16.5" customHeight="1">
      <c r="AD159" s="211">
        <f>=B159</f>
        <v>0</v>
      </c>
      <c r="AE159" s="211">
        <f>=G159</f>
        <v>0</v>
      </c>
      <c r="AF159" s="211">
        <f>=L159</f>
        <v>0</v>
      </c>
      <c r="AG159" s="211">
        <f>=Q159</f>
        <v>0</v>
      </c>
      <c r="AH159" s="211">
        <f>=S159</f>
        <v>0</v>
      </c>
      <c r="AI159" s="211">
        <f>=U159</f>
        <v>0</v>
      </c>
      <c r="AJ159" s="211" t="s"/>
      <c r="AK159" s="189">
        <f>=Z157-$AJ$4/3+E158+J158+O158+X157</f>
        <v>-100</v>
      </c>
      <c r="AL159" s="189">
        <f>=Z157-$AJ$4/3*2+E158+J158+O158+X157</f>
        <v>-200</v>
      </c>
      <c r="AM159" s="189">
        <f>=Z157-$AJ$4+E158+J158+O158+X157</f>
        <v>-300</v>
      </c>
    </row>
    <row r="160" spans="37:39" ht="16.5" customHeight="1">
      <c r="AK160" s="176" t="s"/>
      <c r="AL160" s="176" t="s"/>
      <c r="AM160" s="176" t="s"/>
    </row>
    <row r="161" spans="30:39" ht="16.5" customHeight="1">
      <c r="AD161" s="211">
        <f>=B161</f>
        <v>0</v>
      </c>
      <c r="AE161" s="211">
        <f>=G161</f>
        <v>0</v>
      </c>
      <c r="AF161" s="211">
        <f>=L161</f>
        <v>0</v>
      </c>
      <c r="AG161" s="211">
        <f>=Q161</f>
        <v>0</v>
      </c>
      <c r="AH161" s="211">
        <f>=S161</f>
        <v>0</v>
      </c>
      <c r="AI161" s="211">
        <f>=U161</f>
        <v>0</v>
      </c>
      <c r="AJ161" s="211" t="s"/>
      <c r="AK161" s="189">
        <f>=Z159-$AJ$4/3+E160+J160+O160+X159</f>
        <v>-100</v>
      </c>
      <c r="AL161" s="189">
        <f>=Z159-$AJ$4/3*2+E160+J160+O160+X159</f>
        <v>-200</v>
      </c>
      <c r="AM161" s="189">
        <f>=Z159-$AJ$4+E160+J160+O160+X159</f>
        <v>-300</v>
      </c>
    </row>
    <row r="162" spans="37:39" ht="16.5" customHeight="1">
      <c r="AK162" s="176" t="s"/>
      <c r="AL162" s="176" t="s"/>
      <c r="AM162" s="176" t="s"/>
    </row>
    <row r="163" spans="30:39" ht="16.5" customHeight="1">
      <c r="AD163" s="211">
        <f>=B163</f>
        <v>0</v>
      </c>
      <c r="AE163" s="211">
        <f>=G163</f>
        <v>0</v>
      </c>
      <c r="AF163" s="211">
        <f>=L163</f>
        <v>0</v>
      </c>
      <c r="AG163" s="211">
        <f>=Q163</f>
        <v>0</v>
      </c>
      <c r="AH163" s="211">
        <f>=S163</f>
        <v>0</v>
      </c>
      <c r="AI163" s="211">
        <f>=U163</f>
        <v>0</v>
      </c>
      <c r="AJ163" s="211" t="s"/>
      <c r="AK163" s="189">
        <f>=Z161-$AJ$4/3+E162+J162+O162+X161</f>
        <v>-100</v>
      </c>
      <c r="AL163" s="189">
        <f>=Z161-$AJ$4/3*2+E162+J162+O162+X161</f>
        <v>-200</v>
      </c>
      <c r="AM163" s="189">
        <f>=Z161-$AJ$4+E162+J162+O162+X161</f>
        <v>-300</v>
      </c>
    </row>
    <row r="164" spans="37:39" ht="16.5" customHeight="1">
      <c r="AK164" s="176" t="s"/>
      <c r="AL164" s="176" t="s"/>
      <c r="AM164" s="176" t="s"/>
    </row>
    <row r="165" spans="30:39" ht="16.5" customHeight="1">
      <c r="AD165" s="211">
        <f>=B165</f>
        <v>0</v>
      </c>
      <c r="AE165" s="211">
        <f>=G165</f>
        <v>0</v>
      </c>
      <c r="AF165" s="211">
        <f>=L165</f>
        <v>0</v>
      </c>
      <c r="AG165" s="211">
        <f>=Q165</f>
        <v>0</v>
      </c>
      <c r="AH165" s="211">
        <f>=S165</f>
        <v>0</v>
      </c>
      <c r="AI165" s="211">
        <f>=U165</f>
        <v>0</v>
      </c>
      <c r="AJ165" s="211" t="s"/>
      <c r="AK165" s="189">
        <f>=Z163-$AJ$4/3+E164+J164+O164+X163</f>
        <v>-100</v>
      </c>
      <c r="AL165" s="189">
        <f>=Z163-$AJ$4/3*2+E164+J164+O164+X163</f>
        <v>-200</v>
      </c>
      <c r="AM165" s="189">
        <f>=Z163-$AJ$4+E164+J164+O164+X163</f>
        <v>-300</v>
      </c>
    </row>
    <row r="166" spans="37:39" ht="16.5" customHeight="1">
      <c r="AK166" s="176" t="s"/>
      <c r="AL166" s="176" t="s"/>
      <c r="AM166" s="176" t="s"/>
    </row>
    <row r="167" spans="30:39" ht="16.5" customHeight="1">
      <c r="AD167" s="211">
        <f>=B167</f>
        <v>0</v>
      </c>
      <c r="AE167" s="211">
        <f>=G167</f>
        <v>0</v>
      </c>
      <c r="AF167" s="211">
        <f>=L167</f>
        <v>0</v>
      </c>
      <c r="AG167" s="211">
        <f>=Q167</f>
        <v>0</v>
      </c>
      <c r="AH167" s="211">
        <f>=S167</f>
        <v>0</v>
      </c>
      <c r="AI167" s="211">
        <f>=U167</f>
        <v>0</v>
      </c>
      <c r="AJ167" s="211" t="s"/>
      <c r="AK167" s="189">
        <f>=Z165-$AJ$4/3+E166+J166+O166+X165</f>
        <v>-100</v>
      </c>
      <c r="AL167" s="189">
        <f>=Z165-$AJ$4/3*2+E166+J166+O166+X165</f>
        <v>-200</v>
      </c>
      <c r="AM167" s="189">
        <f>=Z165-$AJ$4+E166+J166+O166+X165</f>
        <v>-300</v>
      </c>
    </row>
    <row r="168" spans="37:39" ht="16.5" customHeight="1">
      <c r="AK168" s="176" t="s"/>
      <c r="AL168" s="176" t="s"/>
      <c r="AM168" s="176" t="s"/>
    </row>
    <row r="169" spans="30:39" ht="16.5" customHeight="1">
      <c r="AD169" s="211">
        <f>=B169</f>
        <v>0</v>
      </c>
      <c r="AE169" s="211">
        <f>=G169</f>
        <v>0</v>
      </c>
      <c r="AF169" s="211">
        <f>=L169</f>
        <v>0</v>
      </c>
      <c r="AG169" s="211">
        <f>=Q169</f>
        <v>0</v>
      </c>
      <c r="AH169" s="211">
        <f>=S169</f>
        <v>0</v>
      </c>
      <c r="AI169" s="211">
        <f>=U169</f>
        <v>0</v>
      </c>
      <c r="AJ169" s="211" t="s"/>
      <c r="AK169" s="189">
        <f>=Z167-$AJ$4/3+E168+J168+O168+X167</f>
        <v>-100</v>
      </c>
      <c r="AL169" s="189">
        <f>=Z167-$AJ$4/3*2+E168+J168+O168+X167</f>
        <v>-200</v>
      </c>
      <c r="AM169" s="189">
        <f>=Z167-$AJ$4+E168+J168+O168+X167</f>
        <v>-300</v>
      </c>
    </row>
    <row r="170" spans="37:39" ht="16.5" customHeight="1">
      <c r="AK170" s="176" t="s"/>
      <c r="AL170" s="176" t="s"/>
      <c r="AM170" s="176" t="s"/>
    </row>
    <row r="171" spans="30:39" ht="16.5" customHeight="1">
      <c r="AD171" s="211">
        <f>=B171</f>
        <v>0</v>
      </c>
      <c r="AE171" s="211">
        <f>=G171</f>
        <v>0</v>
      </c>
      <c r="AF171" s="211">
        <f>=L171</f>
        <v>0</v>
      </c>
      <c r="AG171" s="211">
        <f>=Q171</f>
        <v>0</v>
      </c>
      <c r="AH171" s="211">
        <f>=S171</f>
        <v>0</v>
      </c>
      <c r="AI171" s="211">
        <f>=U171</f>
        <v>0</v>
      </c>
      <c r="AJ171" s="211" t="s"/>
      <c r="AK171" s="189">
        <f>=Z169-$AJ$4/3+E170+J170+O170+X169</f>
        <v>-100</v>
      </c>
      <c r="AL171" s="189">
        <f>=Z169-$AJ$4/3*2+E170+J170+O170+X169</f>
        <v>-200</v>
      </c>
      <c r="AM171" s="189">
        <f>=Z169-$AJ$4+E170+J170+O170+X169</f>
        <v>-300</v>
      </c>
    </row>
    <row r="172" spans="37:39" ht="16.5" customHeight="1">
      <c r="AK172" s="176" t="s"/>
      <c r="AL172" s="176" t="s"/>
      <c r="AM172" s="176" t="s"/>
    </row>
    <row r="173" spans="30:39" ht="16.5" customHeight="1">
      <c r="AD173" s="211">
        <f>=B173</f>
        <v>0</v>
      </c>
      <c r="AE173" s="211">
        <f>=G173</f>
        <v>0</v>
      </c>
      <c r="AF173" s="211">
        <f>=L173</f>
        <v>0</v>
      </c>
      <c r="AG173" s="211">
        <f>=Q173</f>
        <v>0</v>
      </c>
      <c r="AH173" s="211">
        <f>=S173</f>
        <v>0</v>
      </c>
      <c r="AI173" s="211">
        <f>=U173</f>
        <v>0</v>
      </c>
      <c r="AJ173" s="211" t="s"/>
      <c r="AK173" s="189">
        <f>=Z171-$AJ$4/3+E172+J172+O172+X171</f>
        <v>-100</v>
      </c>
      <c r="AL173" s="189">
        <f>=Z171-$AJ$4/3*2+E172+J172+O172+X171</f>
        <v>-200</v>
      </c>
      <c r="AM173" s="189">
        <f>=Z171-$AJ$4+E172+J172+O172+X171</f>
        <v>-300</v>
      </c>
    </row>
    <row r="174" spans="37:39" ht="16.5" customHeight="1">
      <c r="AK174" s="176" t="s"/>
      <c r="AL174" s="176" t="s"/>
      <c r="AM174" s="176" t="s"/>
    </row>
    <row r="175" spans="30:39" ht="16.5" customHeight="1">
      <c r="AD175" s="211">
        <f>=B175</f>
        <v>0</v>
      </c>
      <c r="AE175" s="211">
        <f>=G175</f>
        <v>0</v>
      </c>
      <c r="AF175" s="211">
        <f>=L175</f>
        <v>0</v>
      </c>
      <c r="AG175" s="211">
        <f>=Q175</f>
        <v>0</v>
      </c>
      <c r="AH175" s="211">
        <f>=S175</f>
        <v>0</v>
      </c>
      <c r="AI175" s="211">
        <f>=U175</f>
        <v>0</v>
      </c>
      <c r="AJ175" s="211" t="s"/>
      <c r="AK175" s="189">
        <f>=Z173-$AJ$4/3+E174+J174+O174+X173</f>
        <v>-100</v>
      </c>
      <c r="AL175" s="189">
        <f>=Z173-$AJ$4/3*2+E174+J174+O174+X173</f>
        <v>-200</v>
      </c>
      <c r="AM175" s="189">
        <f>=Z173-$AJ$4+E174+J174+O174+X173</f>
        <v>-300</v>
      </c>
    </row>
    <row r="176" spans="37:39" ht="16.5" customHeight="1">
      <c r="AK176" s="176" t="s"/>
      <c r="AL176" s="176" t="s"/>
      <c r="AM176" s="176" t="s"/>
    </row>
    <row r="177" spans="30:39" ht="16.5" customHeight="1">
      <c r="AD177" s="211">
        <f>=B177</f>
        <v>0</v>
      </c>
      <c r="AE177" s="211">
        <f>=G177</f>
        <v>0</v>
      </c>
      <c r="AF177" s="211">
        <f>=L177</f>
        <v>0</v>
      </c>
      <c r="AG177" s="211">
        <f>=Q177</f>
        <v>0</v>
      </c>
      <c r="AH177" s="211">
        <f>=S177</f>
        <v>0</v>
      </c>
      <c r="AI177" s="211">
        <f>=U177</f>
        <v>0</v>
      </c>
      <c r="AJ177" s="211" t="s"/>
      <c r="AK177" s="189">
        <f>=Z175-$AJ$4/3+E176+J176+O176+X175</f>
        <v>-100</v>
      </c>
      <c r="AL177" s="189">
        <f>=Z175-$AJ$4/3*2+E176+J176+O176+X175</f>
        <v>-200</v>
      </c>
      <c r="AM177" s="189">
        <f>=Z175-$AJ$4+E176+J176+O176+X175</f>
        <v>-300</v>
      </c>
    </row>
    <row r="178" spans="37:39" ht="16.5" customHeight="1">
      <c r="AK178" s="176" t="s"/>
      <c r="AL178" s="176" t="s"/>
      <c r="AM178" s="176" t="s"/>
    </row>
    <row r="179" spans="30:39" ht="16.5" customHeight="1">
      <c r="AD179" s="211">
        <f>=B179</f>
        <v>0</v>
      </c>
      <c r="AE179" s="211">
        <f>=G179</f>
        <v>0</v>
      </c>
      <c r="AF179" s="211">
        <f>=L179</f>
        <v>0</v>
      </c>
      <c r="AG179" s="211">
        <f>=Q179</f>
        <v>0</v>
      </c>
      <c r="AH179" s="211">
        <f>=S179</f>
        <v>0</v>
      </c>
      <c r="AI179" s="211">
        <f>=U179</f>
        <v>0</v>
      </c>
      <c r="AJ179" s="211" t="s"/>
      <c r="AK179" s="189">
        <f>=Z177-$AJ$4/3+E178+J178+O178+X177</f>
        <v>-100</v>
      </c>
      <c r="AL179" s="189">
        <f>=Z177-$AJ$4/3*2+E178+J178+O178+X177</f>
        <v>-200</v>
      </c>
      <c r="AM179" s="189">
        <f>=Z177-$AJ$4+E178+J178+O178+X177</f>
        <v>-300</v>
      </c>
    </row>
    <row r="180" spans="37:39" ht="16.5" customHeight="1">
      <c r="AK180" s="176" t="s"/>
      <c r="AL180" s="176" t="s"/>
      <c r="AM180" s="176" t="s"/>
    </row>
    <row r="181" spans="30:39" ht="16.5" customHeight="1">
      <c r="AD181" s="211">
        <f>=B181</f>
        <v>0</v>
      </c>
      <c r="AE181" s="211">
        <f>=G181</f>
        <v>0</v>
      </c>
      <c r="AF181" s="211">
        <f>=L181</f>
        <v>0</v>
      </c>
      <c r="AG181" s="211">
        <f>=Q181</f>
        <v>0</v>
      </c>
      <c r="AH181" s="211">
        <f>=S181</f>
        <v>0</v>
      </c>
      <c r="AI181" s="211">
        <f>=U181</f>
        <v>0</v>
      </c>
      <c r="AJ181" s="211" t="s"/>
      <c r="AK181" s="189">
        <f>=Z179-$AJ$4/3+E180+J180+O180+X179</f>
        <v>-100</v>
      </c>
      <c r="AL181" s="189">
        <f>=Z179-$AJ$4/3*2+E180+J180+O180+X179</f>
        <v>-200</v>
      </c>
      <c r="AM181" s="189">
        <f>=Z179-$AJ$4+E180+J180+O180+X179</f>
        <v>-300</v>
      </c>
    </row>
    <row r="182" spans="37:39" ht="16.5" customHeight="1">
      <c r="AK182" s="176" t="s"/>
      <c r="AL182" s="176" t="s"/>
      <c r="AM182" s="176" t="s"/>
    </row>
    <row r="183" spans="30:39" ht="16.5" customHeight="1">
      <c r="AD183" s="211">
        <f>=B183</f>
        <v>0</v>
      </c>
      <c r="AE183" s="211">
        <f>=G183</f>
        <v>0</v>
      </c>
      <c r="AF183" s="211">
        <f>=L183</f>
        <v>0</v>
      </c>
      <c r="AG183" s="211">
        <f>=Q183</f>
        <v>0</v>
      </c>
      <c r="AH183" s="211">
        <f>=S183</f>
        <v>0</v>
      </c>
      <c r="AI183" s="211">
        <f>=U183</f>
        <v>0</v>
      </c>
      <c r="AJ183" s="211" t="s"/>
      <c r="AK183" s="189">
        <f>=Z181-$AJ$4/3+E182+J182+O182+X181</f>
        <v>-100</v>
      </c>
      <c r="AL183" s="189">
        <f>=Z181-$AJ$4/3*2+E182+J182+O182+X181</f>
        <v>-200</v>
      </c>
      <c r="AM183" s="189">
        <f>=Z181-$AJ$4+E182+J182+O182+X181</f>
        <v>-300</v>
      </c>
    </row>
    <row r="184" spans="37:39" ht="16.5" customHeight="1">
      <c r="AK184" s="176" t="s"/>
      <c r="AL184" s="176" t="s"/>
      <c r="AM184" s="176" t="s"/>
    </row>
    <row r="185" spans="30:39" ht="16.5" customHeight="1">
      <c r="AD185" s="211">
        <f>=B185</f>
        <v>0</v>
      </c>
      <c r="AE185" s="211">
        <f>=G185</f>
        <v>0</v>
      </c>
      <c r="AF185" s="211">
        <f>=L185</f>
        <v>0</v>
      </c>
      <c r="AG185" s="211">
        <f>=Q185</f>
        <v>0</v>
      </c>
      <c r="AH185" s="211">
        <f>=S185</f>
        <v>0</v>
      </c>
      <c r="AI185" s="211">
        <f>=U185</f>
        <v>0</v>
      </c>
      <c r="AJ185" s="211" t="s"/>
      <c r="AK185" s="189">
        <f>=Z183-$AJ$4/3+E184+J184+O184+X183</f>
        <v>-100</v>
      </c>
      <c r="AL185" s="189">
        <f>=Z183-$AJ$4/3*2+E184+J184+O184+X183</f>
        <v>-200</v>
      </c>
      <c r="AM185" s="189">
        <f>=Z183-$AJ$4+E184+J184+O184+X183</f>
        <v>-300</v>
      </c>
    </row>
    <row r="186" spans="37:39" ht="16.5" customHeight="1">
      <c r="AK186" s="176" t="s"/>
      <c r="AL186" s="176" t="s"/>
      <c r="AM186" s="176" t="s"/>
    </row>
    <row r="187" spans="30:39" ht="16.5" customHeight="1">
      <c r="AD187" s="211">
        <f>=B187</f>
        <v>0</v>
      </c>
      <c r="AE187" s="211">
        <f>=G187</f>
        <v>0</v>
      </c>
      <c r="AF187" s="211">
        <f>=L187</f>
        <v>0</v>
      </c>
      <c r="AG187" s="211">
        <f>=Q187</f>
        <v>0</v>
      </c>
      <c r="AH187" s="211">
        <f>=S187</f>
        <v>0</v>
      </c>
      <c r="AI187" s="211">
        <f>=U187</f>
        <v>0</v>
      </c>
      <c r="AJ187" s="211" t="s"/>
      <c r="AK187" s="189">
        <f>=Z185-$AJ$4/3+E186+J186+O186+X185</f>
        <v>-100</v>
      </c>
      <c r="AL187" s="189">
        <f>=Z185-$AJ$4/3*2+E186+J186+O186+X185</f>
        <v>-200</v>
      </c>
      <c r="AM187" s="189">
        <f>=Z185-$AJ$4+E186+J186+O186+X185</f>
        <v>-300</v>
      </c>
    </row>
    <row r="188" spans="37:39" ht="16.5" customHeight="1">
      <c r="AK188" s="176" t="s"/>
      <c r="AL188" s="176" t="s"/>
      <c r="AM188" s="176" t="s"/>
    </row>
    <row r="189" spans="30:39" ht="16.5" customHeight="1">
      <c r="AD189" s="211">
        <f>=B189</f>
        <v>0</v>
      </c>
      <c r="AE189" s="211">
        <f>=G189</f>
        <v>0</v>
      </c>
      <c r="AF189" s="211">
        <f>=L189</f>
        <v>0</v>
      </c>
      <c r="AG189" s="211">
        <f>=Q189</f>
        <v>0</v>
      </c>
      <c r="AH189" s="211">
        <f>=S189</f>
        <v>0</v>
      </c>
      <c r="AI189" s="211">
        <f>=U189</f>
        <v>0</v>
      </c>
      <c r="AJ189" s="211" t="s"/>
      <c r="AK189" s="189">
        <f>=Z187-$AJ$4/3+E188+J188+O188+X187</f>
        <v>-100</v>
      </c>
      <c r="AL189" s="189">
        <f>=Z187-$AJ$4/3*2+E188+J188+O188+X187</f>
        <v>-200</v>
      </c>
      <c r="AM189" s="189">
        <f>=Z187-$AJ$4+E188+J188+O188+X187</f>
        <v>-300</v>
      </c>
    </row>
    <row r="190" spans="37:39" ht="16.5" customHeight="1">
      <c r="AK190" s="176" t="s"/>
      <c r="AL190" s="176" t="s"/>
      <c r="AM190" s="176" t="s"/>
    </row>
    <row r="191" spans="30:39" ht="16.5" customHeight="1">
      <c r="AD191" s="211">
        <f>=B191</f>
        <v>0</v>
      </c>
      <c r="AE191" s="211">
        <f>=G191</f>
        <v>0</v>
      </c>
      <c r="AF191" s="211">
        <f>=L191</f>
        <v>0</v>
      </c>
      <c r="AG191" s="211">
        <f>=Q191</f>
        <v>0</v>
      </c>
      <c r="AH191" s="211">
        <f>=S191</f>
        <v>0</v>
      </c>
      <c r="AI191" s="211">
        <f>=U191</f>
        <v>0</v>
      </c>
      <c r="AJ191" s="211" t="s"/>
      <c r="AK191" s="189">
        <f>=Z189-$AJ$4/3+E190+J190+O190+X189</f>
        <v>-100</v>
      </c>
      <c r="AL191" s="189">
        <f>=Z189-$AJ$4/3*2+E190+J190+O190+X189</f>
        <v>-200</v>
      </c>
      <c r="AM191" s="189">
        <f>=Z189-$AJ$4+E190+J190+O190+X189</f>
        <v>-300</v>
      </c>
    </row>
    <row r="192" spans="37:39" ht="16.5" customHeight="1">
      <c r="AK192" s="176" t="s"/>
      <c r="AL192" s="176" t="s"/>
      <c r="AM192" s="176" t="s"/>
    </row>
    <row r="193" spans="30:39" ht="16.5" customHeight="1">
      <c r="AD193" s="211">
        <f>=B193</f>
        <v>0</v>
      </c>
      <c r="AE193" s="211">
        <f>=G193</f>
        <v>0</v>
      </c>
      <c r="AF193" s="211">
        <f>=L193</f>
        <v>0</v>
      </c>
      <c r="AG193" s="211">
        <f>=Q193</f>
        <v>0</v>
      </c>
      <c r="AH193" s="211">
        <f>=S193</f>
        <v>0</v>
      </c>
      <c r="AI193" s="211">
        <f>=U193</f>
        <v>0</v>
      </c>
      <c r="AJ193" s="211" t="s"/>
      <c r="AK193" s="189">
        <f>=Z191-$AJ$4/3+E192+J192+O192+X191</f>
        <v>-100</v>
      </c>
      <c r="AL193" s="189">
        <f>=Z191-$AJ$4/3*2+E192+J192+O192+X191</f>
        <v>-200</v>
      </c>
      <c r="AM193" s="189">
        <f>=Z191-$AJ$4+E192+J192+O192+X191</f>
        <v>-300</v>
      </c>
    </row>
    <row r="194" spans="37:39" ht="16.5" customHeight="1">
      <c r="AK194" s="176" t="s"/>
      <c r="AL194" s="176" t="s"/>
      <c r="AM194" s="176" t="s"/>
    </row>
    <row r="195" spans="30:39" ht="16.5" customHeight="1">
      <c r="AD195" s="211">
        <f>=B195</f>
        <v>0</v>
      </c>
      <c r="AE195" s="211">
        <f>=G195</f>
        <v>0</v>
      </c>
      <c r="AF195" s="211">
        <f>=L195</f>
        <v>0</v>
      </c>
      <c r="AG195" s="211">
        <f>=Q195</f>
        <v>0</v>
      </c>
      <c r="AH195" s="211">
        <f>=S195</f>
        <v>0</v>
      </c>
      <c r="AI195" s="211">
        <f>=U195</f>
        <v>0</v>
      </c>
      <c r="AJ195" s="211" t="s"/>
      <c r="AK195" s="189">
        <f>=Z193-$AJ$4/3+E194+J194+O194+X193</f>
        <v>-100</v>
      </c>
      <c r="AL195" s="189">
        <f>=Z193-$AJ$4/3*2+E194+J194+O194+X193</f>
        <v>-200</v>
      </c>
      <c r="AM195" s="189">
        <f>=Z193-$AJ$4+E194+J194+O194+X193</f>
        <v>-300</v>
      </c>
    </row>
    <row r="196" spans="37:39" ht="16.5" customHeight="1">
      <c r="AK196" s="176" t="s"/>
      <c r="AL196" s="176" t="s"/>
      <c r="AM196" s="176" t="s"/>
    </row>
    <row r="197" spans="30:39" ht="16.5" customHeight="1">
      <c r="AD197" s="211">
        <f>=B197</f>
        <v>0</v>
      </c>
      <c r="AE197" s="211">
        <f>=G197</f>
        <v>0</v>
      </c>
      <c r="AF197" s="211">
        <f>=L197</f>
        <v>0</v>
      </c>
      <c r="AG197" s="211">
        <f>=Q197</f>
        <v>0</v>
      </c>
      <c r="AH197" s="211">
        <f>=S197</f>
        <v>0</v>
      </c>
      <c r="AI197" s="211">
        <f>=U197</f>
        <v>0</v>
      </c>
      <c r="AJ197" s="211" t="s"/>
      <c r="AK197" s="189">
        <f>=Z195-$AJ$4/3+E196+J196+O196+X195</f>
        <v>-100</v>
      </c>
      <c r="AL197" s="189">
        <f>=Z195-$AJ$4/3*2+E196+J196+O196+X195</f>
        <v>-200</v>
      </c>
      <c r="AM197" s="189">
        <f>=Z195-$AJ$4+E196+J196+O196+X195</f>
        <v>-300</v>
      </c>
    </row>
    <row r="198" spans="37:39" ht="16.5" customHeight="1">
      <c r="AK198" s="176" t="s"/>
      <c r="AL198" s="176" t="s"/>
      <c r="AM198" s="176" t="s"/>
    </row>
    <row r="199" spans="30:39" ht="16.5" customHeight="1">
      <c r="AD199" s="211">
        <f>=B199</f>
        <v>0</v>
      </c>
      <c r="AE199" s="211">
        <f>=G199</f>
        <v>0</v>
      </c>
      <c r="AF199" s="211">
        <f>=L199</f>
        <v>0</v>
      </c>
      <c r="AG199" s="211">
        <f>=Q199</f>
        <v>0</v>
      </c>
      <c r="AH199" s="211">
        <f>=S199</f>
        <v>0</v>
      </c>
      <c r="AI199" s="211">
        <f>=U199</f>
        <v>0</v>
      </c>
      <c r="AJ199" s="211" t="s"/>
      <c r="AK199" s="189">
        <f>=Z197-$AJ$4/3+E198+J198+O198+X197</f>
        <v>-100</v>
      </c>
      <c r="AL199" s="189">
        <f>=Z197-$AJ$4/3*2+E198+J198+O198+X197</f>
        <v>-200</v>
      </c>
      <c r="AM199" s="189">
        <f>=Z197-$AJ$4+E198+J198+O198+X197</f>
        <v>-300</v>
      </c>
    </row>
    <row r="200" spans="37:39" ht="16.5" customHeight="1">
      <c r="AK200" s="176" t="s"/>
      <c r="AL200" s="176" t="s"/>
      <c r="AM200" s="176" t="s"/>
    </row>
  </sheetData>
  <mergeCells count="558">
    <mergeCell ref="Q1:R1"/>
    <mergeCell ref="S1:T1"/>
    <mergeCell ref="U1:V1"/>
    <mergeCell ref="A1:A2"/>
    <mergeCell ref="X1:X2"/>
    <mergeCell ref="X5:X6"/>
    <mergeCell ref="C1:F1"/>
    <mergeCell ref="H1:K1"/>
    <mergeCell ref="M1:P1"/>
    <mergeCell ref="C3:F3"/>
    <mergeCell ref="A3:A4"/>
    <mergeCell ref="Q3:R3"/>
    <mergeCell ref="S3:T3"/>
    <mergeCell ref="U3:V3"/>
    <mergeCell ref="A11:A12"/>
    <mergeCell ref="A13:A14"/>
    <mergeCell ref="X7:X8"/>
    <mergeCell ref="X9:X10"/>
    <mergeCell ref="X11:X12"/>
    <mergeCell ref="H5:K5"/>
    <mergeCell ref="A5:A6"/>
    <mergeCell ref="A7:A8"/>
    <mergeCell ref="A9:A10"/>
    <mergeCell ref="A27:A28"/>
    <mergeCell ref="A29:A30"/>
    <mergeCell ref="A31:A32"/>
    <mergeCell ref="A35:A36"/>
    <mergeCell ref="A37:A38"/>
    <mergeCell ref="A39:A40"/>
    <mergeCell ref="A15:A16"/>
    <mergeCell ref="A17:A18"/>
    <mergeCell ref="A19:A20"/>
    <mergeCell ref="A21:A22"/>
    <mergeCell ref="A23:A24"/>
    <mergeCell ref="A25:A26"/>
    <mergeCell ref="A33:A34"/>
    <mergeCell ref="A41:A42"/>
    <mergeCell ref="A43:A44"/>
    <mergeCell ref="X35:X36"/>
    <mergeCell ref="X37:X38"/>
    <mergeCell ref="X39:X40"/>
    <mergeCell ref="X41:X42"/>
    <mergeCell ref="X43:X44"/>
    <mergeCell ref="Q39:R39"/>
    <mergeCell ref="S39:T39"/>
    <mergeCell ref="U39:V39"/>
    <mergeCell ref="AA1:AA2"/>
    <mergeCell ref="X3:X4"/>
    <mergeCell ref="Y3:Y4"/>
    <mergeCell ref="AA3:AA4"/>
    <mergeCell ref="AA5:AA6"/>
    <mergeCell ref="Y7:Y8"/>
    <mergeCell ref="S23:T23"/>
    <mergeCell ref="U23:V23"/>
    <mergeCell ref="AD1:AI2"/>
    <mergeCell ref="S7:T7"/>
    <mergeCell ref="U7:V7"/>
    <mergeCell ref="S9:T9"/>
    <mergeCell ref="U9:V9"/>
    <mergeCell ref="S15:T15"/>
    <mergeCell ref="U15:V15"/>
    <mergeCell ref="S17:T17"/>
    <mergeCell ref="U17:V17"/>
    <mergeCell ref="S13:T13"/>
    <mergeCell ref="U13:V13"/>
    <mergeCell ref="S11:T11"/>
    <mergeCell ref="U11:V11"/>
    <mergeCell ref="U5:V5"/>
    <mergeCell ref="S5:T5"/>
    <mergeCell ref="S31:T31"/>
    <mergeCell ref="U31:V31"/>
    <mergeCell ref="Q33:R33"/>
    <mergeCell ref="S33:T33"/>
    <mergeCell ref="U33:V33"/>
    <mergeCell ref="Q35:R35"/>
    <mergeCell ref="X13:X14"/>
    <mergeCell ref="X15:X16"/>
    <mergeCell ref="C43:F43"/>
    <mergeCell ref="H21:K21"/>
    <mergeCell ref="Q37:R37"/>
    <mergeCell ref="S37:T37"/>
    <mergeCell ref="U37:V37"/>
    <mergeCell ref="Q15:R15"/>
    <mergeCell ref="Q17:R17"/>
    <mergeCell ref="Q13:R13"/>
    <mergeCell ref="H13:K13"/>
    <mergeCell ref="C33:F33"/>
    <mergeCell ref="C35:F35"/>
    <mergeCell ref="C37:F37"/>
    <mergeCell ref="C39:F39"/>
    <mergeCell ref="C41:F41"/>
    <mergeCell ref="H41:K41"/>
    <mergeCell ref="C17:F17"/>
    <mergeCell ref="C21:F21"/>
    <mergeCell ref="C25:F25"/>
    <mergeCell ref="C27:F27"/>
    <mergeCell ref="C29:F29"/>
    <mergeCell ref="C31:F31"/>
    <mergeCell ref="H37:K37"/>
    <mergeCell ref="H39:K39"/>
    <mergeCell ref="H31:K31"/>
    <mergeCell ref="H33:K33"/>
    <mergeCell ref="H35:K35"/>
    <mergeCell ref="H43:K43"/>
    <mergeCell ref="M5:P5"/>
    <mergeCell ref="M7:P7"/>
    <mergeCell ref="M9:P9"/>
    <mergeCell ref="M11:P11"/>
    <mergeCell ref="M13:P13"/>
    <mergeCell ref="M15:P15"/>
    <mergeCell ref="M21:P21"/>
    <mergeCell ref="M23:P23"/>
    <mergeCell ref="M25:P25"/>
    <mergeCell ref="M27:P27"/>
    <mergeCell ref="M29:P29"/>
    <mergeCell ref="M31:P31"/>
    <mergeCell ref="M33:P33"/>
    <mergeCell ref="H7:K7"/>
    <mergeCell ref="H9:K9"/>
    <mergeCell ref="H11:K11"/>
    <mergeCell ref="Z35:Z36"/>
    <mergeCell ref="Z37:Z38"/>
    <mergeCell ref="Z39:Z40"/>
    <mergeCell ref="Z41:Z42"/>
    <mergeCell ref="Z43:Z44"/>
    <mergeCell ref="M35:P35"/>
    <mergeCell ref="M37:P37"/>
    <mergeCell ref="M39:P39"/>
    <mergeCell ref="M41:P41"/>
    <mergeCell ref="M43:P43"/>
    <mergeCell ref="Q43:R43"/>
    <mergeCell ref="S43:T43"/>
    <mergeCell ref="U43:V43"/>
    <mergeCell ref="S35:T35"/>
    <mergeCell ref="U35:V35"/>
    <mergeCell ref="Q41:R41"/>
    <mergeCell ref="S41:T41"/>
    <mergeCell ref="U41:V41"/>
    <mergeCell ref="Z25:Z26"/>
    <mergeCell ref="Q19:R19"/>
    <mergeCell ref="S19:T19"/>
    <mergeCell ref="U19:V19"/>
    <mergeCell ref="Q21:R21"/>
    <mergeCell ref="AA27:AA28"/>
    <mergeCell ref="AA29:AA30"/>
    <mergeCell ref="X31:X32"/>
    <mergeCell ref="X33:X34"/>
    <mergeCell ref="X19:X20"/>
    <mergeCell ref="X21:X22"/>
    <mergeCell ref="X23:X24"/>
    <mergeCell ref="X25:X26"/>
    <mergeCell ref="X27:X28"/>
    <mergeCell ref="W25:W26"/>
    <mergeCell ref="AA19:AA20"/>
    <mergeCell ref="AA21:AA22"/>
    <mergeCell ref="AA23:AA24"/>
    <mergeCell ref="AA25:AA26"/>
    <mergeCell ref="Z21:Z22"/>
    <mergeCell ref="Z23:Z24"/>
    <mergeCell ref="Z33:Z34"/>
    <mergeCell ref="Q25:R25"/>
    <mergeCell ref="Q31:R31"/>
    <mergeCell ref="S25:T25"/>
    <mergeCell ref="U25:V25"/>
    <mergeCell ref="Q27:R27"/>
    <mergeCell ref="S27:T27"/>
    <mergeCell ref="U27:V27"/>
    <mergeCell ref="Q29:R29"/>
    <mergeCell ref="S29:T29"/>
    <mergeCell ref="U29:V29"/>
    <mergeCell ref="H15:K15"/>
    <mergeCell ref="H17:K17"/>
    <mergeCell ref="H19:K19"/>
    <mergeCell ref="M17:P17"/>
    <mergeCell ref="M19:P19"/>
    <mergeCell ref="H23:K23"/>
    <mergeCell ref="H25:K25"/>
    <mergeCell ref="H27:K27"/>
    <mergeCell ref="H29:K29"/>
    <mergeCell ref="S21:T21"/>
    <mergeCell ref="U21:V21"/>
    <mergeCell ref="Q23:R23"/>
    <mergeCell ref="C19:F19"/>
    <mergeCell ref="C23:F23"/>
    <mergeCell ref="Z1:Z2"/>
    <mergeCell ref="Z3:Z4"/>
    <mergeCell ref="Z5:Z6"/>
    <mergeCell ref="Z17:Z18"/>
    <mergeCell ref="Z19:Z20"/>
    <mergeCell ref="X17:X18"/>
    <mergeCell ref="C7:F7"/>
    <mergeCell ref="C9:F9"/>
    <mergeCell ref="C11:F11"/>
    <mergeCell ref="C13:F13"/>
    <mergeCell ref="C15:F15"/>
    <mergeCell ref="Y1:Y2"/>
    <mergeCell ref="Q7:R7"/>
    <mergeCell ref="Q9:R9"/>
    <mergeCell ref="Q11:R11"/>
    <mergeCell ref="H3:K3"/>
    <mergeCell ref="M3:P3"/>
    <mergeCell ref="C5:F5"/>
    <mergeCell ref="Q5:R5"/>
    <mergeCell ref="W19:W20"/>
    <mergeCell ref="W21:W22"/>
    <mergeCell ref="W11:W12"/>
    <mergeCell ref="Y9:Y10"/>
    <mergeCell ref="Y11:Y12"/>
    <mergeCell ref="Y17:Y18"/>
    <mergeCell ref="AB3:AC3"/>
    <mergeCell ref="Z7:Z8"/>
    <mergeCell ref="Z9:Z10"/>
    <mergeCell ref="Z11:Z12"/>
    <mergeCell ref="Z13:Z14"/>
    <mergeCell ref="Z15:Z16"/>
    <mergeCell ref="AA13:AA14"/>
    <mergeCell ref="AA15:AA16"/>
    <mergeCell ref="AA17:AA18"/>
    <mergeCell ref="AA7:AA8"/>
    <mergeCell ref="AA9:AA10"/>
    <mergeCell ref="AA11:AA12"/>
    <mergeCell ref="W41:W42"/>
    <mergeCell ref="W43:W44"/>
    <mergeCell ref="AK7:AK8"/>
    <mergeCell ref="AL7:AL8"/>
    <mergeCell ref="AM7:AM8"/>
    <mergeCell ref="W1:W2"/>
    <mergeCell ref="W3:W4"/>
    <mergeCell ref="W5:W6"/>
    <mergeCell ref="W7:W8"/>
    <mergeCell ref="W9:W10"/>
    <mergeCell ref="W23:W24"/>
    <mergeCell ref="Y13:Y14"/>
    <mergeCell ref="Y15:Y16"/>
    <mergeCell ref="W35:W36"/>
    <mergeCell ref="W37:W38"/>
    <mergeCell ref="W39:W40"/>
    <mergeCell ref="W27:W28"/>
    <mergeCell ref="W29:W30"/>
    <mergeCell ref="W31:W32"/>
    <mergeCell ref="W33:W34"/>
    <mergeCell ref="Y5:Y6"/>
    <mergeCell ref="W13:W14"/>
    <mergeCell ref="W15:W16"/>
    <mergeCell ref="W17:W18"/>
    <mergeCell ref="X29:X30"/>
    <mergeCell ref="Y35:Y36"/>
    <mergeCell ref="Y37:Y38"/>
    <mergeCell ref="Y39:Y40"/>
    <mergeCell ref="Y41:Y42"/>
    <mergeCell ref="Y43:Y44"/>
    <mergeCell ref="AA43:AA44"/>
    <mergeCell ref="Z31:Z32"/>
    <mergeCell ref="Y19:Y20"/>
    <mergeCell ref="Y21:Y22"/>
    <mergeCell ref="Y23:Y24"/>
    <mergeCell ref="Y25:Y26"/>
    <mergeCell ref="Y27:Y28"/>
    <mergeCell ref="Y29:Y30"/>
    <mergeCell ref="Y31:Y32"/>
    <mergeCell ref="Y33:Y34"/>
    <mergeCell ref="AA31:AA32"/>
    <mergeCell ref="AA33:AA34"/>
    <mergeCell ref="AA35:AA36"/>
    <mergeCell ref="AA37:AA38"/>
    <mergeCell ref="AA39:AA40"/>
    <mergeCell ref="AA41:AA42"/>
    <mergeCell ref="Z27:Z28"/>
    <mergeCell ref="Z29:Z30"/>
    <mergeCell ref="AK21:AK22"/>
    <mergeCell ref="AK23:AK24"/>
    <mergeCell ref="AK25:AK26"/>
    <mergeCell ref="AK27:AK28"/>
    <mergeCell ref="AK29:AK30"/>
    <mergeCell ref="AK31:AK32"/>
    <mergeCell ref="AK9:AK10"/>
    <mergeCell ref="AK11:AK12"/>
    <mergeCell ref="AK13:AK14"/>
    <mergeCell ref="AK15:AK16"/>
    <mergeCell ref="AK17:AK18"/>
    <mergeCell ref="AK19:AK20"/>
    <mergeCell ref="AK45:AK46"/>
    <mergeCell ref="AK47:AK48"/>
    <mergeCell ref="AK49:AK50"/>
    <mergeCell ref="AK51:AK52"/>
    <mergeCell ref="AK53:AK54"/>
    <mergeCell ref="AK55:AK56"/>
    <mergeCell ref="AK33:AK34"/>
    <mergeCell ref="AK35:AK36"/>
    <mergeCell ref="AK37:AK38"/>
    <mergeCell ref="AK39:AK40"/>
    <mergeCell ref="AK41:AK42"/>
    <mergeCell ref="AK43:AK44"/>
    <mergeCell ref="AK69:AK70"/>
    <mergeCell ref="AK71:AK72"/>
    <mergeCell ref="AK73:AK74"/>
    <mergeCell ref="AK75:AK76"/>
    <mergeCell ref="AK77:AK78"/>
    <mergeCell ref="AK79:AK80"/>
    <mergeCell ref="AK57:AK58"/>
    <mergeCell ref="AK59:AK60"/>
    <mergeCell ref="AK61:AK62"/>
    <mergeCell ref="AK63:AK64"/>
    <mergeCell ref="AK65:AK66"/>
    <mergeCell ref="AK67:AK68"/>
    <mergeCell ref="AK93:AK94"/>
    <mergeCell ref="AK95:AK96"/>
    <mergeCell ref="AK97:AK98"/>
    <mergeCell ref="AK99:AK100"/>
    <mergeCell ref="AK101:AK102"/>
    <mergeCell ref="AK103:AK104"/>
    <mergeCell ref="AK81:AK82"/>
    <mergeCell ref="AK83:AK84"/>
    <mergeCell ref="AK85:AK86"/>
    <mergeCell ref="AK87:AK88"/>
    <mergeCell ref="AK89:AK90"/>
    <mergeCell ref="AK91:AK92"/>
    <mergeCell ref="AK117:AK118"/>
    <mergeCell ref="AK119:AK120"/>
    <mergeCell ref="AK121:AK122"/>
    <mergeCell ref="AK123:AK124"/>
    <mergeCell ref="AK125:AK126"/>
    <mergeCell ref="AK127:AK128"/>
    <mergeCell ref="AK105:AK106"/>
    <mergeCell ref="AK107:AK108"/>
    <mergeCell ref="AK109:AK110"/>
    <mergeCell ref="AK111:AK112"/>
    <mergeCell ref="AK113:AK114"/>
    <mergeCell ref="AK115:AK116"/>
    <mergeCell ref="AK141:AK142"/>
    <mergeCell ref="AK143:AK144"/>
    <mergeCell ref="AK145:AK146"/>
    <mergeCell ref="AK147:AK148"/>
    <mergeCell ref="AK149:AK150"/>
    <mergeCell ref="AK151:AK152"/>
    <mergeCell ref="AK129:AK130"/>
    <mergeCell ref="AK131:AK132"/>
    <mergeCell ref="AK133:AK134"/>
    <mergeCell ref="AK135:AK136"/>
    <mergeCell ref="AK137:AK138"/>
    <mergeCell ref="AK139:AK140"/>
    <mergeCell ref="AK165:AK166"/>
    <mergeCell ref="AK167:AK168"/>
    <mergeCell ref="AK169:AK170"/>
    <mergeCell ref="AK171:AK172"/>
    <mergeCell ref="AK173:AK174"/>
    <mergeCell ref="AK175:AK176"/>
    <mergeCell ref="AK153:AK154"/>
    <mergeCell ref="AK155:AK156"/>
    <mergeCell ref="AK157:AK158"/>
    <mergeCell ref="AK159:AK160"/>
    <mergeCell ref="AK161:AK162"/>
    <mergeCell ref="AK163:AK164"/>
    <mergeCell ref="AK189:AK190"/>
    <mergeCell ref="AK191:AK192"/>
    <mergeCell ref="AK193:AK194"/>
    <mergeCell ref="AK195:AK196"/>
    <mergeCell ref="AK197:AK198"/>
    <mergeCell ref="AK199:AK200"/>
    <mergeCell ref="AK177:AK178"/>
    <mergeCell ref="AK179:AK180"/>
    <mergeCell ref="AK181:AK182"/>
    <mergeCell ref="AK183:AK184"/>
    <mergeCell ref="AK185:AK186"/>
    <mergeCell ref="AK187:AK188"/>
    <mergeCell ref="AL21:AL22"/>
    <mergeCell ref="AL23:AL24"/>
    <mergeCell ref="AL25:AL26"/>
    <mergeCell ref="AL27:AL28"/>
    <mergeCell ref="AL29:AL30"/>
    <mergeCell ref="AL31:AL32"/>
    <mergeCell ref="AL9:AL10"/>
    <mergeCell ref="AL11:AL12"/>
    <mergeCell ref="AL13:AL14"/>
    <mergeCell ref="AL15:AL16"/>
    <mergeCell ref="AL17:AL18"/>
    <mergeCell ref="AL19:AL20"/>
    <mergeCell ref="AL45:AL46"/>
    <mergeCell ref="AL47:AL48"/>
    <mergeCell ref="AL49:AL50"/>
    <mergeCell ref="AL51:AL52"/>
    <mergeCell ref="AL53:AL54"/>
    <mergeCell ref="AL55:AL56"/>
    <mergeCell ref="AL33:AL34"/>
    <mergeCell ref="AL35:AL36"/>
    <mergeCell ref="AL37:AL38"/>
    <mergeCell ref="AL39:AL40"/>
    <mergeCell ref="AL41:AL42"/>
    <mergeCell ref="AL43:AL44"/>
    <mergeCell ref="AL69:AL70"/>
    <mergeCell ref="AL71:AL72"/>
    <mergeCell ref="AL73:AL74"/>
    <mergeCell ref="AL75:AL76"/>
    <mergeCell ref="AL77:AL78"/>
    <mergeCell ref="AL79:AL80"/>
    <mergeCell ref="AL57:AL58"/>
    <mergeCell ref="AL59:AL60"/>
    <mergeCell ref="AL61:AL62"/>
    <mergeCell ref="AL63:AL64"/>
    <mergeCell ref="AL65:AL66"/>
    <mergeCell ref="AL67:AL68"/>
    <mergeCell ref="AL93:AL94"/>
    <mergeCell ref="AL95:AL96"/>
    <mergeCell ref="AL97:AL98"/>
    <mergeCell ref="AL99:AL100"/>
    <mergeCell ref="AL101:AL102"/>
    <mergeCell ref="AL103:AL104"/>
    <mergeCell ref="AL81:AL82"/>
    <mergeCell ref="AL83:AL84"/>
    <mergeCell ref="AL85:AL86"/>
    <mergeCell ref="AL87:AL88"/>
    <mergeCell ref="AL89:AL90"/>
    <mergeCell ref="AL91:AL92"/>
    <mergeCell ref="AL117:AL118"/>
    <mergeCell ref="AL119:AL120"/>
    <mergeCell ref="AL121:AL122"/>
    <mergeCell ref="AL123:AL124"/>
    <mergeCell ref="AL125:AL126"/>
    <mergeCell ref="AL127:AL128"/>
    <mergeCell ref="AL105:AL106"/>
    <mergeCell ref="AL107:AL108"/>
    <mergeCell ref="AL109:AL110"/>
    <mergeCell ref="AL111:AL112"/>
    <mergeCell ref="AL113:AL114"/>
    <mergeCell ref="AL115:AL116"/>
    <mergeCell ref="AL141:AL142"/>
    <mergeCell ref="AL143:AL144"/>
    <mergeCell ref="AL145:AL146"/>
    <mergeCell ref="AL147:AL148"/>
    <mergeCell ref="AL149:AL150"/>
    <mergeCell ref="AL151:AL152"/>
    <mergeCell ref="AL129:AL130"/>
    <mergeCell ref="AL131:AL132"/>
    <mergeCell ref="AL133:AL134"/>
    <mergeCell ref="AL135:AL136"/>
    <mergeCell ref="AL137:AL138"/>
    <mergeCell ref="AL139:AL140"/>
    <mergeCell ref="AL165:AL166"/>
    <mergeCell ref="AL167:AL168"/>
    <mergeCell ref="AL169:AL170"/>
    <mergeCell ref="AL171:AL172"/>
    <mergeCell ref="AL173:AL174"/>
    <mergeCell ref="AL175:AL176"/>
    <mergeCell ref="AL153:AL154"/>
    <mergeCell ref="AL155:AL156"/>
    <mergeCell ref="AL157:AL158"/>
    <mergeCell ref="AL159:AL160"/>
    <mergeCell ref="AL161:AL162"/>
    <mergeCell ref="AL163:AL164"/>
    <mergeCell ref="AL189:AL190"/>
    <mergeCell ref="AL191:AL192"/>
    <mergeCell ref="AL193:AL194"/>
    <mergeCell ref="AL195:AL196"/>
    <mergeCell ref="AL197:AL198"/>
    <mergeCell ref="AL199:AL200"/>
    <mergeCell ref="AL177:AL178"/>
    <mergeCell ref="AL179:AL180"/>
    <mergeCell ref="AL181:AL182"/>
    <mergeCell ref="AL183:AL184"/>
    <mergeCell ref="AL185:AL186"/>
    <mergeCell ref="AL187:AL188"/>
    <mergeCell ref="AM21:AM22"/>
    <mergeCell ref="AM23:AM24"/>
    <mergeCell ref="AM25:AM26"/>
    <mergeCell ref="AM27:AM28"/>
    <mergeCell ref="AM29:AM30"/>
    <mergeCell ref="AM31:AM32"/>
    <mergeCell ref="AM9:AM10"/>
    <mergeCell ref="AM11:AM12"/>
    <mergeCell ref="AM13:AM14"/>
    <mergeCell ref="AM15:AM16"/>
    <mergeCell ref="AM17:AM18"/>
    <mergeCell ref="AM19:AM20"/>
    <mergeCell ref="AM45:AM46"/>
    <mergeCell ref="AM47:AM48"/>
    <mergeCell ref="AM49:AM50"/>
    <mergeCell ref="AM51:AM52"/>
    <mergeCell ref="AM53:AM54"/>
    <mergeCell ref="AM55:AM56"/>
    <mergeCell ref="AM33:AM34"/>
    <mergeCell ref="AM35:AM36"/>
    <mergeCell ref="AM37:AM38"/>
    <mergeCell ref="AM39:AM40"/>
    <mergeCell ref="AM41:AM42"/>
    <mergeCell ref="AM43:AM44"/>
    <mergeCell ref="AM69:AM70"/>
    <mergeCell ref="AM71:AM72"/>
    <mergeCell ref="AM73:AM74"/>
    <mergeCell ref="AM75:AM76"/>
    <mergeCell ref="AM77:AM78"/>
    <mergeCell ref="AM79:AM80"/>
    <mergeCell ref="AM57:AM58"/>
    <mergeCell ref="AM59:AM60"/>
    <mergeCell ref="AM61:AM62"/>
    <mergeCell ref="AM63:AM64"/>
    <mergeCell ref="AM65:AM66"/>
    <mergeCell ref="AM67:AM68"/>
    <mergeCell ref="AM93:AM94"/>
    <mergeCell ref="AM95:AM96"/>
    <mergeCell ref="AM97:AM98"/>
    <mergeCell ref="AM99:AM100"/>
    <mergeCell ref="AM101:AM102"/>
    <mergeCell ref="AM103:AM104"/>
    <mergeCell ref="AM81:AM82"/>
    <mergeCell ref="AM83:AM84"/>
    <mergeCell ref="AM85:AM86"/>
    <mergeCell ref="AM87:AM88"/>
    <mergeCell ref="AM89:AM90"/>
    <mergeCell ref="AM91:AM92"/>
    <mergeCell ref="AM117:AM118"/>
    <mergeCell ref="AM119:AM120"/>
    <mergeCell ref="AM121:AM122"/>
    <mergeCell ref="AM123:AM124"/>
    <mergeCell ref="AM125:AM126"/>
    <mergeCell ref="AM127:AM128"/>
    <mergeCell ref="AM105:AM106"/>
    <mergeCell ref="AM107:AM108"/>
    <mergeCell ref="AM109:AM110"/>
    <mergeCell ref="AM111:AM112"/>
    <mergeCell ref="AM113:AM114"/>
    <mergeCell ref="AM115:AM116"/>
    <mergeCell ref="AM163:AM164"/>
    <mergeCell ref="AM141:AM142"/>
    <mergeCell ref="AM143:AM144"/>
    <mergeCell ref="AM145:AM146"/>
    <mergeCell ref="AM147:AM148"/>
    <mergeCell ref="AM149:AM150"/>
    <mergeCell ref="AM151:AM152"/>
    <mergeCell ref="AM129:AM130"/>
    <mergeCell ref="AM131:AM132"/>
    <mergeCell ref="AM133:AM134"/>
    <mergeCell ref="AM135:AM136"/>
    <mergeCell ref="AM137:AM138"/>
    <mergeCell ref="AM139:AM140"/>
    <mergeCell ref="B45:H45"/>
    <mergeCell ref="AM195:AM196"/>
    <mergeCell ref="AM197:AM198"/>
    <mergeCell ref="AM199:AM200"/>
    <mergeCell ref="AM171:AM172"/>
    <mergeCell ref="AM173:AM174"/>
    <mergeCell ref="AM175:AM176"/>
    <mergeCell ref="AM177:AM178"/>
    <mergeCell ref="AM179:AM180"/>
    <mergeCell ref="AM181:AM182"/>
    <mergeCell ref="AM183:AM184"/>
    <mergeCell ref="AM165:AM166"/>
    <mergeCell ref="AM167:AM168"/>
    <mergeCell ref="AM169:AM170"/>
    <mergeCell ref="AM189:AM190"/>
    <mergeCell ref="AM191:AM192"/>
    <mergeCell ref="AM193:AM194"/>
    <mergeCell ref="AM185:AM186"/>
    <mergeCell ref="AM187:AM188"/>
    <mergeCell ref="AM153:AM154"/>
    <mergeCell ref="AM155:AM156"/>
    <mergeCell ref="AM157:AM158"/>
    <mergeCell ref="AM159:AM160"/>
    <mergeCell ref="AM161:AM162"/>
  </mergeCells>
  <dataValidations>
    <dataValidation type="list" operator="between" allowBlank="1" showInputMessage="1" showErrorMessage="1" sqref="AB4">
      <formula1>"HIT数,百分比,"</formula1>
    </dataValidation>
  </dataValidations>
  <hyperlinks>
    <hyperlink ref="AB8" r:id="rId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Z200"/>
  <sheetViews>
    <sheetView showGridLines="1" workbookViewId="0"/>
  </sheetViews>
  <sheetFormatPr baseColWidth="10" defaultColWidth="9" defaultRowHeight="14"/>
  <cols>
    <col min="1" max="1" width="9.16406" style="233" customWidth="1"/>
    <col min="2" max="2" width="6.66406" style="233" customWidth="1"/>
    <col min="3" max="3" width="9.83203" style="233" customWidth="1"/>
    <col min="4" max="4" width="6.66406" style="233" customWidth="1"/>
    <col min="5" max="5" width="9.83203" style="233" customWidth="1"/>
    <col min="6" max="6" width="6.66406" style="233" customWidth="1"/>
    <col min="7" max="7" width="9.83203" style="233" customWidth="1"/>
    <col min="8" max="8" width="6.66406" style="233" customWidth="1"/>
    <col min="9" max="9" width="4.83203" style="233" hidden="1" customWidth="1"/>
    <col min="10" max="26" width="9" style="234"/>
  </cols>
  <sheetData>
    <row r="1" spans="1:9" ht="16.5" customHeight="1">
      <c r="A1" s="212" t="s">
        <v>183</v>
      </c>
      <c r="B1" s="190" t="s"/>
      <c r="C1" s="190" t="s"/>
      <c r="D1" s="190" t="s"/>
      <c r="E1" s="190" t="s"/>
      <c r="F1" s="209" t="s"/>
      <c r="G1" s="213" t="s">
        <v>184</v>
      </c>
      <c r="H1" s="209" t="s"/>
      <c r="I1" s="214" t="s"/>
    </row>
    <row r="2" spans="1:9" ht="16.5" customHeight="1">
      <c r="A2" s="212" t="s">
        <v>185</v>
      </c>
      <c r="B2" s="190" t="s"/>
      <c r="C2" s="212" t="s">
        <f>=_xlfn.TEXTJOIN("  ",TRUE,排轴!B3,排轴!G3,排轴!L3)</f>
      </c>
      <c r="D2" s="190" t="s"/>
      <c r="E2" s="212" t="s">
        <f>=_xlfn.TEXTJOIN("  ",TRUE,排轴!Q3,排轴!S3,排轴!U3)</f>
      </c>
      <c r="F2" s="190" t="s"/>
      <c r="G2" s="213" t="s"/>
      <c r="H2" s="209" t="s"/>
      <c r="I2" s="214" t="s"/>
    </row>
    <row r="3" spans="1:9" ht="16.5" customHeight="1">
      <c r="A3" s="215" t="s">
        <v>186</v>
      </c>
      <c r="B3" s="190" t="s"/>
      <c r="C3" s="190" t="s"/>
      <c r="D3" s="190" t="s"/>
      <c r="E3" s="190" t="s"/>
      <c r="F3" s="190" t="s"/>
      <c r="G3" s="190" t="s"/>
      <c r="H3" s="190" t="s"/>
      <c r="I3" s="214" t="s"/>
    </row>
    <row r="4" spans="1:9" ht="16.5" customHeight="1">
      <c r="A4" s="190" t="s"/>
      <c r="B4" s="190" t="s"/>
      <c r="C4" s="190" t="s"/>
      <c r="D4" s="190" t="s"/>
      <c r="E4" s="190" t="s"/>
      <c r="F4" s="190" t="s"/>
      <c r="G4" s="190" t="s"/>
      <c r="H4" s="190" t="s"/>
      <c r="I4" s="214" t="s"/>
    </row>
    <row r="5" spans="1:9" ht="16.5" customHeight="1">
      <c r="A5" s="190" t="s"/>
      <c r="B5" s="190" t="s"/>
      <c r="C5" s="190" t="s"/>
      <c r="D5" s="190" t="s"/>
      <c r="E5" s="190" t="s"/>
      <c r="F5" s="190" t="s"/>
      <c r="G5" s="190" t="s"/>
      <c r="H5" s="190" t="s"/>
      <c r="I5" s="214" t="s"/>
    </row>
    <row r="6" spans="1:9" ht="16.5" customHeight="1">
      <c r="A6" s="216" t="s">
        <v>107</v>
      </c>
      <c r="B6" s="216" t="s">
        <v>187</v>
      </c>
      <c r="C6" s="190" t="s"/>
      <c r="D6" s="190" t="s"/>
      <c r="E6" s="190" t="s"/>
      <c r="F6" s="190" t="s"/>
      <c r="G6" s="190" t="s"/>
      <c r="H6" s="216" t="s">
        <v>161</v>
      </c>
      <c r="I6" s="216" t="s">
        <v>188</v>
      </c>
    </row>
    <row r="7" spans="1:9" ht="16.5" customHeight="1">
      <c r="A7" s="217">
        <f>=排轴!A5</f>
        <v>1</v>
      </c>
      <c r="B7" s="218">
        <f>=排轴!B5</f>
        <v>0</v>
      </c>
      <c r="C7" s="219">
        <f>=排轴!C5</f>
        <v>0</v>
      </c>
      <c r="D7" s="220">
        <f>=排轴!G5</f>
        <v>0</v>
      </c>
      <c r="E7" s="221">
        <f>=排轴!H5</f>
        <v>0</v>
      </c>
      <c r="F7" s="218">
        <f>=排轴!L5</f>
        <v>0</v>
      </c>
      <c r="G7" s="222">
        <f>=排轴!M5</f>
        <v>0</v>
      </c>
      <c r="H7" s="223">
        <f>=排轴!Y5</f>
        <v>0</v>
      </c>
      <c r="I7" s="224" t="s">
        <v>189</v>
      </c>
    </row>
    <row r="8" spans="1:9" ht="16.5" customHeight="1">
      <c r="A8" s="217">
        <f>=排轴!A7</f>
        <v>0</v>
      </c>
      <c r="B8" s="218">
        <f>=排轴!B7</f>
        <v>0</v>
      </c>
      <c r="C8" s="219">
        <f>=排轴!C7</f>
        <v>0</v>
      </c>
      <c r="D8" s="220">
        <f>=排轴!G7</f>
        <v>0</v>
      </c>
      <c r="E8" s="221">
        <f>=排轴!H7</f>
        <v>0</v>
      </c>
      <c r="F8" s="218">
        <f>=排轴!L7</f>
        <v>0</v>
      </c>
      <c r="G8" s="222">
        <f>=排轴!M7</f>
        <v>0</v>
      </c>
      <c r="H8" s="225">
        <f>=排轴!Y7</f>
        <v>0</v>
      </c>
      <c r="I8" s="224" t="s">
        <v>189</v>
      </c>
    </row>
    <row r="9" spans="1:9" ht="16.5" customHeight="1">
      <c r="A9" s="217">
        <f>=排轴!A9</f>
        <v>0</v>
      </c>
      <c r="B9" s="218">
        <f>=排轴!B9</f>
        <v>0</v>
      </c>
      <c r="C9" s="219">
        <f>=排轴!C9</f>
        <v>0</v>
      </c>
      <c r="D9" s="220">
        <f>=排轴!G9</f>
        <v>0</v>
      </c>
      <c r="E9" s="221">
        <f>=排轴!H9</f>
        <v>0</v>
      </c>
      <c r="F9" s="218">
        <f>=排轴!L9</f>
        <v>0</v>
      </c>
      <c r="G9" s="222">
        <f>=排轴!M9</f>
        <v>0</v>
      </c>
      <c r="H9" s="225">
        <f>=排轴!Y9</f>
        <v>0</v>
      </c>
      <c r="I9" s="224" t="s">
        <v>189</v>
      </c>
    </row>
    <row r="10" spans="1:9" ht="16.5" customHeight="1">
      <c r="A10" s="217">
        <f>=排轴!A11</f>
        <v>0</v>
      </c>
      <c r="B10" s="218">
        <f>=排轴!B11</f>
        <v>0</v>
      </c>
      <c r="C10" s="219">
        <f>=排轴!C11</f>
        <v>0</v>
      </c>
      <c r="D10" s="220">
        <f>=排轴!G11</f>
        <v>0</v>
      </c>
      <c r="E10" s="221">
        <f>=排轴!H11</f>
        <v>0</v>
      </c>
      <c r="F10" s="218">
        <f>=排轴!L11</f>
        <v>0</v>
      </c>
      <c r="G10" s="222">
        <f>=排轴!M11</f>
        <v>0</v>
      </c>
      <c r="H10" s="225">
        <f>=排轴!Y11</f>
        <v>0</v>
      </c>
      <c r="I10" s="224" t="s">
        <v>189</v>
      </c>
    </row>
    <row r="11" spans="1:9" ht="16.5" customHeight="1">
      <c r="A11" s="217">
        <f>=排轴!A13</f>
        <v>0</v>
      </c>
      <c r="B11" s="218">
        <f>=排轴!B13</f>
        <v>0</v>
      </c>
      <c r="C11" s="219">
        <f>=排轴!C13</f>
        <v>0</v>
      </c>
      <c r="D11" s="220">
        <f>=排轴!G13</f>
        <v>0</v>
      </c>
      <c r="E11" s="221">
        <f>=排轴!H13</f>
        <v>0</v>
      </c>
      <c r="F11" s="218">
        <f>=排轴!L13</f>
        <v>0</v>
      </c>
      <c r="G11" s="222">
        <f>=排轴!M13</f>
        <v>0</v>
      </c>
      <c r="H11" s="225">
        <f>=排轴!Y13</f>
        <v>0</v>
      </c>
      <c r="I11" s="224" t="s">
        <v>189</v>
      </c>
    </row>
    <row r="12" spans="1:9" ht="16.5" customHeight="1">
      <c r="A12" s="217">
        <f>=排轴!A15</f>
        <v>0</v>
      </c>
      <c r="B12" s="218">
        <f>=排轴!B15</f>
        <v>0</v>
      </c>
      <c r="C12" s="219">
        <f>=排轴!C15</f>
        <v>0</v>
      </c>
      <c r="D12" s="220">
        <f>=排轴!G15</f>
        <v>0</v>
      </c>
      <c r="E12" s="221">
        <f>=排轴!H15</f>
        <v>0</v>
      </c>
      <c r="F12" s="218">
        <f>=排轴!L15</f>
        <v>0</v>
      </c>
      <c r="G12" s="222">
        <f>=排轴!M15</f>
        <v>0</v>
      </c>
      <c r="H12" s="225">
        <f>=排轴!Y15</f>
        <v>0</v>
      </c>
      <c r="I12" s="224" t="s">
        <v>189</v>
      </c>
    </row>
    <row r="13" spans="1:9" ht="16.5" customHeight="1">
      <c r="A13" s="217">
        <f>=排轴!A17</f>
        <v>7</v>
      </c>
      <c r="B13" s="218">
        <f>=排轴!B17</f>
        <v>0</v>
      </c>
      <c r="C13" s="219">
        <f>=排轴!C17</f>
        <v>0</v>
      </c>
      <c r="D13" s="220">
        <f>=排轴!G17</f>
        <v>0</v>
      </c>
      <c r="E13" s="221">
        <f>=排轴!H17</f>
        <v>0</v>
      </c>
      <c r="F13" s="218">
        <f>=排轴!L17</f>
        <v>0</v>
      </c>
      <c r="G13" s="222">
        <f>=排轴!M17</f>
        <v>0</v>
      </c>
      <c r="H13" s="225">
        <f>=排轴!Y17</f>
        <v>0</v>
      </c>
      <c r="I13" s="224" t="s">
        <v>189</v>
      </c>
    </row>
    <row r="14" spans="1:9" ht="16.5" customHeight="1">
      <c r="A14" s="217">
        <f>=排轴!A19</f>
        <v>8</v>
      </c>
      <c r="B14" s="218">
        <f>=排轴!B19</f>
        <v>0</v>
      </c>
      <c r="C14" s="219">
        <f>=排轴!C19</f>
        <v>0</v>
      </c>
      <c r="D14" s="220">
        <f>=排轴!G19</f>
        <v>0</v>
      </c>
      <c r="E14" s="221">
        <f>=排轴!H19</f>
        <v>0</v>
      </c>
      <c r="F14" s="218">
        <f>=排轴!L19</f>
        <v>0</v>
      </c>
      <c r="G14" s="222">
        <f>=排轴!M19</f>
        <v>0</v>
      </c>
      <c r="H14" s="225">
        <f>=排轴!Y19</f>
        <v>0</v>
      </c>
      <c r="I14" s="224" t="s">
        <v>189</v>
      </c>
    </row>
    <row r="15" spans="1:9" ht="16.5" customHeight="1">
      <c r="A15" s="217">
        <f>=排轴!A21</f>
        <v>9</v>
      </c>
      <c r="B15" s="218">
        <f>=排轴!B21</f>
        <v>0</v>
      </c>
      <c r="C15" s="219">
        <f>=排轴!C21</f>
        <v>0</v>
      </c>
      <c r="D15" s="220">
        <f>=排轴!G21</f>
        <v>0</v>
      </c>
      <c r="E15" s="221">
        <f>=排轴!H21</f>
        <v>0</v>
      </c>
      <c r="F15" s="218">
        <f>=排轴!L21</f>
        <v>0</v>
      </c>
      <c r="G15" s="222">
        <f>=排轴!M21</f>
        <v>0</v>
      </c>
      <c r="H15" s="225">
        <f>=排轴!Y21</f>
        <v>0</v>
      </c>
      <c r="I15" s="224" t="s">
        <v>189</v>
      </c>
    </row>
    <row r="16" spans="1:9" ht="16.5" customHeight="1">
      <c r="A16" s="217">
        <f>=排轴!A23</f>
        <v>10</v>
      </c>
      <c r="B16" s="218">
        <f>=排轴!B23</f>
        <v>0</v>
      </c>
      <c r="C16" s="219">
        <f>=排轴!C23</f>
        <v>0</v>
      </c>
      <c r="D16" s="220">
        <f>=排轴!G23</f>
        <v>0</v>
      </c>
      <c r="E16" s="221">
        <f>=排轴!H23</f>
        <v>0</v>
      </c>
      <c r="F16" s="218">
        <f>=排轴!L23</f>
        <v>0</v>
      </c>
      <c r="G16" s="222">
        <f>=排轴!M23</f>
        <v>0</v>
      </c>
      <c r="H16" s="225">
        <f>=排轴!Y23</f>
        <v>0</v>
      </c>
      <c r="I16" s="224" t="s">
        <v>189</v>
      </c>
    </row>
    <row r="17" spans="1:9" ht="16.5" customHeight="1">
      <c r="A17" s="217">
        <f>=排轴!A25</f>
        <v>11</v>
      </c>
      <c r="B17" s="218">
        <f>=排轴!B25</f>
        <v>0</v>
      </c>
      <c r="C17" s="219">
        <f>=排轴!C25</f>
        <v>0</v>
      </c>
      <c r="D17" s="220">
        <f>=排轴!G25</f>
        <v>0</v>
      </c>
      <c r="E17" s="221">
        <f>=排轴!H25</f>
        <v>0</v>
      </c>
      <c r="F17" s="218">
        <f>=排轴!L25</f>
        <v>0</v>
      </c>
      <c r="G17" s="222">
        <f>=排轴!M25</f>
        <v>0</v>
      </c>
      <c r="H17" s="225">
        <f>=排轴!Y25</f>
        <v>0</v>
      </c>
      <c r="I17" s="224" t="s">
        <v>189</v>
      </c>
    </row>
    <row r="18" spans="1:9" ht="16.5" customHeight="1">
      <c r="A18" s="217">
        <f>=排轴!A27</f>
        <v>12</v>
      </c>
      <c r="B18" s="218">
        <f>=排轴!B27</f>
        <v>0</v>
      </c>
      <c r="C18" s="219">
        <f>=排轴!C27</f>
        <v>0</v>
      </c>
      <c r="D18" s="220">
        <f>=排轴!G27</f>
        <v>0</v>
      </c>
      <c r="E18" s="221">
        <f>=排轴!H27</f>
        <v>0</v>
      </c>
      <c r="F18" s="218">
        <f>=排轴!L27</f>
        <v>0</v>
      </c>
      <c r="G18" s="222">
        <f>=排轴!M27</f>
        <v>0</v>
      </c>
      <c r="H18" s="225">
        <f>=排轴!Y27</f>
        <v>0</v>
      </c>
      <c r="I18" s="224" t="s">
        <v>189</v>
      </c>
    </row>
    <row r="19" spans="1:9" ht="16.5" customHeight="1">
      <c r="A19" s="217">
        <f>=排轴!A29</f>
        <v>13</v>
      </c>
      <c r="B19" s="218">
        <f>=排轴!B29</f>
        <v>0</v>
      </c>
      <c r="C19" s="219">
        <f>=排轴!C29</f>
        <v>0</v>
      </c>
      <c r="D19" s="220">
        <f>=排轴!G29</f>
        <v>0</v>
      </c>
      <c r="E19" s="221">
        <f>=排轴!H29</f>
        <v>0</v>
      </c>
      <c r="F19" s="218">
        <f>=排轴!L29</f>
        <v>0</v>
      </c>
      <c r="G19" s="222">
        <f>=排轴!M29</f>
        <v>0</v>
      </c>
      <c r="H19" s="225">
        <f>=排轴!Y29</f>
        <v>0</v>
      </c>
      <c r="I19" s="224" t="s">
        <v>189</v>
      </c>
    </row>
    <row r="20" spans="1:9" ht="16.5" customHeight="1">
      <c r="A20" s="217">
        <f>=排轴!A31</f>
        <v>14</v>
      </c>
      <c r="B20" s="218">
        <f>=排轴!B31</f>
        <v>0</v>
      </c>
      <c r="C20" s="219">
        <f>=排轴!C31</f>
        <v>0</v>
      </c>
      <c r="D20" s="220">
        <f>=排轴!G31</f>
        <v>0</v>
      </c>
      <c r="E20" s="221">
        <f>=排轴!H31</f>
        <v>0</v>
      </c>
      <c r="F20" s="218">
        <f>=排轴!L31</f>
        <v>0</v>
      </c>
      <c r="G20" s="222">
        <f>=排轴!M31</f>
        <v>0</v>
      </c>
      <c r="H20" s="225">
        <f>=排轴!Y31</f>
        <v>0</v>
      </c>
      <c r="I20" s="224" t="s">
        <v>189</v>
      </c>
    </row>
    <row r="21" spans="1:9" ht="16.5" customHeight="1">
      <c r="A21" s="217">
        <f>=排轴!A33</f>
        <v>15</v>
      </c>
      <c r="B21" s="218">
        <f>=排轴!B33</f>
        <v>0</v>
      </c>
      <c r="C21" s="219">
        <f>=排轴!C33</f>
        <v>0</v>
      </c>
      <c r="D21" s="220">
        <f>=排轴!G33</f>
        <v>0</v>
      </c>
      <c r="E21" s="221">
        <f>=排轴!H33</f>
        <v>0</v>
      </c>
      <c r="F21" s="218">
        <f>=排轴!L33</f>
        <v>0</v>
      </c>
      <c r="G21" s="222">
        <f>=排轴!M33</f>
        <v>0</v>
      </c>
      <c r="H21" s="225">
        <f>=排轴!Y33</f>
        <v>0</v>
      </c>
      <c r="I21" s="224" t="s">
        <v>189</v>
      </c>
    </row>
    <row r="22" spans="1:9" ht="16.5" customHeight="1">
      <c r="A22" s="217">
        <f>=排轴!A35</f>
        <v>16</v>
      </c>
      <c r="B22" s="218">
        <f>=排轴!B35</f>
        <v>0</v>
      </c>
      <c r="C22" s="219">
        <f>=排轴!C35</f>
        <v>0</v>
      </c>
      <c r="D22" s="220">
        <f>=排轴!G35</f>
        <v>0</v>
      </c>
      <c r="E22" s="221">
        <f>=排轴!H35</f>
        <v>0</v>
      </c>
      <c r="F22" s="218">
        <f>=排轴!L35</f>
        <v>0</v>
      </c>
      <c r="G22" s="222">
        <f>=排轴!M35</f>
        <v>0</v>
      </c>
      <c r="H22" s="225">
        <f>=排轴!Y35</f>
        <v>0</v>
      </c>
      <c r="I22" s="224" t="s">
        <v>189</v>
      </c>
    </row>
    <row r="23" spans="1:9" ht="16.5" customHeight="1">
      <c r="A23" s="217">
        <f>=排轴!A37</f>
        <v>17</v>
      </c>
      <c r="B23" s="218">
        <f>=排轴!B37</f>
        <v>0</v>
      </c>
      <c r="C23" s="219">
        <f>=排轴!C37</f>
        <v>0</v>
      </c>
      <c r="D23" s="220">
        <f>=排轴!G37</f>
        <v>0</v>
      </c>
      <c r="E23" s="221">
        <f>=排轴!H37</f>
        <v>0</v>
      </c>
      <c r="F23" s="218">
        <f>=排轴!L37</f>
        <v>0</v>
      </c>
      <c r="G23" s="222">
        <f>=排轴!M37</f>
        <v>0</v>
      </c>
      <c r="H23" s="225">
        <f>=排轴!Y37</f>
        <v>0</v>
      </c>
      <c r="I23" s="224" t="s">
        <v>189</v>
      </c>
    </row>
    <row r="24" spans="1:9" ht="16.5" customHeight="1">
      <c r="A24" s="217">
        <f>=排轴!A39</f>
        <v>18</v>
      </c>
      <c r="B24" s="218">
        <f>=排轴!B39</f>
        <v>0</v>
      </c>
      <c r="C24" s="219">
        <f>=排轴!C39</f>
        <v>0</v>
      </c>
      <c r="D24" s="220">
        <f>=排轴!G39</f>
        <v>0</v>
      </c>
      <c r="E24" s="221">
        <f>=排轴!H39</f>
        <v>0</v>
      </c>
      <c r="F24" s="218">
        <f>=排轴!L39</f>
        <v>0</v>
      </c>
      <c r="G24" s="222">
        <f>=排轴!M39</f>
        <v>0</v>
      </c>
      <c r="H24" s="225">
        <f>=排轴!Y39</f>
        <v>0</v>
      </c>
      <c r="I24" s="224" t="s">
        <v>189</v>
      </c>
    </row>
    <row r="25" spans="1:9" ht="16.5" customHeight="1">
      <c r="A25" s="217">
        <f>=排轴!A41</f>
        <v>19</v>
      </c>
      <c r="B25" s="218">
        <f>=排轴!B41</f>
        <v>0</v>
      </c>
      <c r="C25" s="219">
        <f>=排轴!C41</f>
        <v>0</v>
      </c>
      <c r="D25" s="220">
        <f>=排轴!G41</f>
        <v>0</v>
      </c>
      <c r="E25" s="221">
        <f>=排轴!H41</f>
        <v>0</v>
      </c>
      <c r="F25" s="218">
        <f>=排轴!L41</f>
        <v>0</v>
      </c>
      <c r="G25" s="222">
        <f>=排轴!M41</f>
        <v>0</v>
      </c>
      <c r="H25" s="225">
        <f>=排轴!Y41</f>
        <v>0</v>
      </c>
      <c r="I25" s="224" t="s">
        <v>189</v>
      </c>
    </row>
    <row r="26" spans="1:9" ht="16.5" customHeight="1">
      <c r="A26" s="217">
        <f>=排轴!A43</f>
        <v>20</v>
      </c>
      <c r="B26" s="218">
        <f>=排轴!B43</f>
        <v>0</v>
      </c>
      <c r="C26" s="219">
        <f>=排轴!C43</f>
        <v>0</v>
      </c>
      <c r="D26" s="220">
        <f>=排轴!G43</f>
        <v>0</v>
      </c>
      <c r="E26" s="221">
        <f>=排轴!H43</f>
        <v>0</v>
      </c>
      <c r="F26" s="218">
        <f>=排轴!L43</f>
        <v>0</v>
      </c>
      <c r="G26" s="222">
        <f>=排轴!M43</f>
        <v>0</v>
      </c>
      <c r="H26" s="225">
        <f>=排轴!Y43</f>
        <v>0</v>
      </c>
      <c r="I26" s="224" t="s">
        <v>189</v>
      </c>
    </row>
    <row r="27" spans="1:26" ht="16.5" customHeight="1"/>
    <row r="28" spans="1:26" ht="16.5" customHeight="1"/>
    <row r="29" spans="1:26" ht="16.5" customHeight="1"/>
    <row r="30" spans="1:26" ht="16.5" customHeight="1"/>
    <row r="31" spans="1:26" ht="16.5" customHeight="1"/>
    <row r="32" spans="1:26" ht="16.5" customHeight="1"/>
    <row r="33" spans="1:26" ht="16.5" customHeight="1"/>
    <row r="34" spans="1:26" ht="16.5" customHeight="1"/>
    <row r="35" spans="1:26" ht="16.5" customHeight="1"/>
    <row r="36" spans="1:26" ht="16.5" customHeight="1"/>
    <row r="37" spans="1:26" ht="16.5" customHeight="1"/>
    <row r="38" spans="1:26" ht="16.5" customHeight="1"/>
    <row r="39" spans="1:26" ht="16.5" customHeight="1"/>
    <row r="40" spans="1:26" ht="16.5" customHeight="1"/>
    <row r="41" spans="1:26" ht="16.5" customHeight="1"/>
    <row r="42" spans="1:26" ht="16.5" customHeight="1"/>
    <row r="43" spans="1:26" ht="16.5" customHeight="1"/>
    <row r="44" spans="1:26" ht="16.5" customHeight="1"/>
    <row r="45" spans="1:26" ht="16.5" customHeight="1"/>
    <row r="46" spans="1:26" ht="16.5" customHeight="1"/>
    <row r="47" spans="1:26" ht="16.5" customHeight="1"/>
    <row r="48" spans="1:26" ht="16.5" customHeight="1"/>
    <row r="49" spans="1:26" ht="16.5" customHeight="1"/>
    <row r="50" spans="1:26" ht="16.5" customHeight="1"/>
    <row r="51" spans="1:26" ht="16.5" customHeight="1"/>
    <row r="52" spans="1:26" ht="16.5" customHeight="1"/>
    <row r="53" spans="1:26" ht="16.5" customHeight="1"/>
    <row r="54" spans="1:26" ht="16.5" customHeight="1"/>
    <row r="55" spans="1:26" ht="16.5" customHeight="1"/>
    <row r="56" spans="1:26" ht="16.5" customHeight="1"/>
    <row r="57" spans="1:26" ht="16.5" customHeight="1"/>
    <row r="58" spans="1:26" ht="16.5" customHeight="1"/>
    <row r="59" spans="1:26" ht="16.5" customHeight="1"/>
    <row r="60" spans="1:26" ht="16.5" customHeight="1"/>
    <row r="61" spans="1:26" ht="16.5" customHeight="1"/>
    <row r="62" spans="1:26" ht="16.5" customHeight="1"/>
    <row r="63" spans="1:26" ht="16.5" customHeight="1"/>
    <row r="64" spans="1:26" ht="16.5" customHeight="1"/>
    <row r="65" spans="1:26" ht="16.5" customHeight="1"/>
    <row r="66" spans="1:26" ht="16.5" customHeight="1"/>
    <row r="67" spans="1:26" ht="16.5" customHeight="1"/>
    <row r="68" spans="1:26" ht="16.5" customHeight="1"/>
    <row r="69" spans="1:26" ht="16.5" customHeight="1"/>
    <row r="70" spans="1:26" ht="16.5" customHeight="1"/>
    <row r="71" spans="1:26" ht="16.5" customHeight="1"/>
    <row r="72" spans="1:26" ht="16.5" customHeight="1"/>
    <row r="73" spans="1:26" ht="16.5" customHeight="1"/>
    <row r="74" spans="1:26" ht="16.5" customHeight="1"/>
    <row r="75" spans="1:26" ht="16.5" customHeight="1"/>
    <row r="76" spans="1:26" ht="16.5" customHeight="1"/>
    <row r="77" spans="1:26" ht="16.5" customHeight="1"/>
    <row r="78" spans="1:26" ht="16.5" customHeight="1"/>
    <row r="79" spans="1:26" ht="16.5" customHeight="1"/>
    <row r="80" spans="1:26" ht="16.5" customHeight="1"/>
    <row r="81" spans="1:26" ht="16.5" customHeight="1"/>
    <row r="82" spans="1:26" ht="16.5" customHeight="1"/>
    <row r="83" spans="1:26" ht="16.5" customHeight="1"/>
    <row r="84" spans="1:26" ht="16.5" customHeight="1"/>
    <row r="85" spans="1:26" ht="16.5" customHeight="1"/>
    <row r="86" spans="1:26" ht="16.5" customHeight="1"/>
    <row r="87" spans="1:26" ht="16.5" customHeight="1"/>
    <row r="88" spans="1:26" ht="16.5" customHeight="1"/>
    <row r="89" spans="1:26" ht="16.5" customHeight="1"/>
    <row r="90" spans="1:26" ht="16.5" customHeight="1"/>
    <row r="91" spans="1:26" ht="16.5" customHeight="1"/>
    <row r="92" spans="1:26" ht="16.5" customHeight="1"/>
    <row r="93" spans="1:26" ht="16.5" customHeight="1"/>
    <row r="94" spans="1:26" ht="16.5" customHeight="1"/>
    <row r="95" spans="1:26" ht="16.5" customHeight="1"/>
    <row r="96" spans="1:26" ht="16.5" customHeight="1"/>
    <row r="97" spans="1:26" ht="16.5" customHeight="1"/>
    <row r="98" spans="1:26" ht="16.5" customHeight="1"/>
    <row r="99" spans="1:26" ht="16.5" customHeight="1"/>
    <row r="100" spans="1:26" ht="16.5" customHeight="1"/>
    <row r="101" spans="1:26" ht="16.5" customHeight="1"/>
    <row r="102" spans="1:26" ht="16.5" customHeight="1"/>
    <row r="103" spans="1:26" ht="16.5" customHeight="1"/>
    <row r="104" spans="1:26" ht="16.5" customHeight="1"/>
    <row r="105" spans="1:26" ht="16.5" customHeight="1"/>
    <row r="106" spans="1:26" ht="16.5" customHeight="1"/>
    <row r="107" spans="1:26" ht="16.5" customHeight="1"/>
    <row r="108" spans="1:26" ht="16.5" customHeight="1"/>
    <row r="109" spans="1:26" ht="16.5" customHeight="1"/>
    <row r="110" spans="1:26" ht="16.5" customHeight="1"/>
    <row r="111" spans="1:26" ht="16.5" customHeight="1"/>
    <row r="112" spans="1:26" ht="16.5" customHeight="1"/>
    <row r="113" spans="1:26" ht="16.5" customHeight="1"/>
    <row r="114" spans="1:26" ht="16.5" customHeight="1"/>
    <row r="115" spans="1:26" ht="16.5" customHeight="1"/>
    <row r="116" spans="1:26" ht="16.5" customHeight="1"/>
    <row r="117" spans="1:26" ht="16.5" customHeight="1"/>
    <row r="118" spans="1:26" ht="16.5" customHeight="1"/>
    <row r="119" spans="1:26" ht="16.5" customHeight="1"/>
    <row r="120" spans="1:26" ht="16.5" customHeight="1"/>
    <row r="121" spans="1:26" ht="16.5" customHeight="1"/>
    <row r="122" spans="1:26" ht="16.5" customHeight="1"/>
    <row r="123" spans="1:26" ht="16.5" customHeight="1"/>
    <row r="124" spans="1:26" ht="16.5" customHeight="1"/>
    <row r="125" spans="1:26" ht="16.5" customHeight="1"/>
    <row r="126" spans="1:26" ht="16.5" customHeight="1"/>
    <row r="127" spans="1:26" ht="16.5" customHeight="1"/>
    <row r="128" spans="1:26" ht="16.5" customHeight="1"/>
    <row r="129" spans="1:26" ht="16.5" customHeight="1"/>
    <row r="130" spans="1:26" ht="16.5" customHeight="1"/>
    <row r="131" spans="1:26" ht="16.5" customHeight="1"/>
    <row r="132" spans="1:26" ht="16.5" customHeight="1"/>
    <row r="133" spans="1:26" ht="16.5" customHeight="1"/>
    <row r="134" spans="1:26" ht="16.5" customHeight="1"/>
    <row r="135" spans="1:26" ht="16.5" customHeight="1"/>
    <row r="136" spans="1:26" ht="16.5" customHeight="1"/>
    <row r="137" spans="1:26" ht="16.5" customHeight="1"/>
    <row r="138" spans="1:26" ht="16.5" customHeight="1"/>
    <row r="139" spans="1:26" ht="16.5" customHeight="1"/>
    <row r="140" spans="1:26" ht="16.5" customHeight="1"/>
    <row r="141" spans="1:26" ht="16.5" customHeight="1"/>
    <row r="142" spans="1:26" ht="16.5" customHeight="1"/>
    <row r="143" spans="1:26" ht="16.5" customHeight="1"/>
    <row r="144" spans="1:26" ht="16.5" customHeight="1"/>
    <row r="145" spans="1:26" ht="16.5" customHeight="1"/>
    <row r="146" spans="1:26" ht="16.5" customHeight="1"/>
    <row r="147" spans="1:26" ht="16.5" customHeight="1"/>
    <row r="148" spans="1:26" ht="16.5" customHeight="1"/>
    <row r="149" spans="1:26" ht="16.5" customHeight="1"/>
    <row r="150" spans="1:26" ht="16.5" customHeight="1"/>
    <row r="151" spans="1:26" ht="16.5" customHeight="1"/>
    <row r="152" spans="1:26" ht="16.5" customHeight="1"/>
    <row r="153" spans="1:26" ht="16.5" customHeight="1"/>
    <row r="154" spans="1:26" ht="16.5" customHeight="1"/>
    <row r="155" spans="1:26" ht="16.5" customHeight="1"/>
    <row r="156" spans="1:26" ht="16.5" customHeight="1"/>
    <row r="157" spans="1:26" ht="16.5" customHeight="1"/>
    <row r="158" spans="1:26" ht="16.5" customHeight="1"/>
    <row r="159" spans="1:26" ht="16.5" customHeight="1"/>
    <row r="160" spans="1:26" ht="16.5" customHeight="1"/>
    <row r="161" spans="1:26" ht="16.5" customHeight="1"/>
    <row r="162" spans="1:26" ht="16.5" customHeight="1"/>
    <row r="163" spans="1:26" ht="16.5" customHeight="1"/>
    <row r="164" spans="1:26" ht="16.5" customHeight="1"/>
    <row r="165" spans="1:26" ht="16.5" customHeight="1"/>
    <row r="166" spans="1:26" ht="16.5" customHeight="1"/>
    <row r="167" spans="1:26" ht="16.5" customHeight="1"/>
    <row r="168" spans="1:26" ht="16.5" customHeight="1"/>
    <row r="169" spans="1:26" ht="16.5" customHeight="1"/>
    <row r="170" spans="1:26" ht="16.5" customHeight="1"/>
    <row r="171" spans="1:26" ht="16.5" customHeight="1"/>
    <row r="172" spans="1:26" ht="16.5" customHeight="1"/>
    <row r="173" spans="1:26" ht="16.5" customHeight="1"/>
    <row r="174" spans="1:26" ht="16.5" customHeight="1"/>
    <row r="175" spans="1:26" ht="16.5" customHeight="1"/>
    <row r="176" spans="1:26" ht="16.5" customHeight="1"/>
    <row r="177" spans="1:26" ht="16.5" customHeight="1"/>
    <row r="178" spans="1:26" ht="16.5" customHeight="1"/>
    <row r="179" spans="1:26" ht="16.5" customHeight="1"/>
    <row r="180" spans="1:26" ht="16.5" customHeight="1"/>
    <row r="181" spans="1:26" ht="16.5" customHeight="1"/>
    <row r="182" spans="1:26" ht="16.5" customHeight="1"/>
    <row r="183" spans="1:26" ht="16.5" customHeight="1"/>
    <row r="184" spans="1:26" ht="16.5" customHeight="1"/>
    <row r="185" spans="1:26" ht="16.5" customHeight="1"/>
    <row r="186" spans="1:26" ht="16.5" customHeight="1"/>
    <row r="187" spans="1:26" ht="16.5" customHeight="1"/>
    <row r="188" spans="1:26" ht="16.5" customHeight="1"/>
    <row r="189" spans="1:26" ht="16.5" customHeight="1"/>
    <row r="190" spans="1:26" ht="16.5" customHeight="1"/>
    <row r="191" spans="1:26" ht="16.5" customHeight="1"/>
    <row r="192" spans="1:26" ht="16.5" customHeight="1"/>
    <row r="193" spans="1:26" ht="16.5" customHeight="1"/>
    <row r="194" spans="1:26" ht="16.5" customHeight="1"/>
    <row r="195" spans="1:26" ht="16.5" customHeight="1"/>
    <row r="196" spans="1:26" ht="16.5" customHeight="1"/>
    <row r="197" spans="1:26" ht="16.5" customHeight="1"/>
    <row r="198" spans="1:26" ht="16.5" customHeight="1"/>
    <row r="199" spans="1:26" ht="16.5" customHeight="1"/>
    <row r="200" spans="1:26" ht="16.5" customHeight="1"/>
  </sheetData>
  <mergeCells count="8">
    <mergeCell ref="B6:G6"/>
    <mergeCell ref="A1:F1"/>
    <mergeCell ref="G1:H1"/>
    <mergeCell ref="G2:H2"/>
    <mergeCell ref="A3:H5"/>
    <mergeCell ref="A2:B2"/>
    <mergeCell ref="C2:D2"/>
    <mergeCell ref="E2: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2026-06-10T06:34:17Z</dcterms:created>
  <dcterms:modified xsi:type="dcterms:W3CDTF">2026-06-10T06:34:17Z</dcterms:modified>
</cp:coreProperties>
</file>